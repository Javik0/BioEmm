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jvkdi\Downloads\Telegram Desktop\"/>
    </mc:Choice>
  </mc:AlternateContent>
  <xr:revisionPtr revIDLastSave="0" documentId="13_ncr:1_{F3C827B0-C0F0-4257-8CFD-EDF08F452D2D}" xr6:coauthVersionLast="47" xr6:coauthVersionMax="47" xr10:uidLastSave="{00000000-0000-0000-0000-000000000000}"/>
  <bookViews>
    <workbookView xWindow="-108" yWindow="-108" windowWidth="30936" windowHeight="16776" xr2:uid="{5BA6EA35-4D3A-4C2E-9F82-82BC31097489}"/>
  </bookViews>
  <sheets>
    <sheet name="Ensayo 1" sheetId="1" r:id="rId1"/>
    <sheet name="Dosificación Ensayo 1" sheetId="7" r:id="rId2"/>
    <sheet name="Ensayo 2" sheetId="3" r:id="rId3"/>
    <sheet name="Dosificación Ensayo 2" sheetId="5" r:id="rId4"/>
    <sheet name="Ensayo 3" sheetId="4" r:id="rId5"/>
    <sheet name="Dosificación Ensayo 3" sheetId="8" r:id="rId6"/>
  </sheets>
  <externalReferences>
    <externalReference r:id="rId7"/>
  </externalReferences>
  <definedNames>
    <definedName name="_xlnm.Print_Area" localSheetId="5">'Dosificación Ensayo 3'!$A$1:$G$34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30" i="8" l="1"/>
  <c r="E5" i="8"/>
  <c r="E6" i="8"/>
  <c r="E7" i="8"/>
  <c r="E8" i="8"/>
  <c r="G8" i="8" s="1"/>
  <c r="E9" i="8"/>
  <c r="E10" i="8"/>
  <c r="E11" i="8"/>
  <c r="E12" i="8"/>
  <c r="G12" i="8" s="1"/>
  <c r="E13" i="8"/>
  <c r="E14" i="8"/>
  <c r="E15" i="8"/>
  <c r="G15" i="8" s="1"/>
  <c r="E16" i="8"/>
  <c r="G16" i="8" s="1"/>
  <c r="E17" i="8"/>
  <c r="E18" i="8"/>
  <c r="E19" i="8"/>
  <c r="G19" i="8" s="1"/>
  <c r="E20" i="8"/>
  <c r="G20" i="8" s="1"/>
  <c r="E21" i="8"/>
  <c r="E22" i="8"/>
  <c r="E23" i="8"/>
  <c r="G23" i="8" s="1"/>
  <c r="E24" i="8"/>
  <c r="G24" i="8" s="1"/>
  <c r="E25" i="8"/>
  <c r="E26" i="8"/>
  <c r="E27" i="8"/>
  <c r="G27" i="8" s="1"/>
  <c r="E28" i="8"/>
  <c r="G28" i="8" s="1"/>
  <c r="E29" i="8"/>
  <c r="E30" i="8"/>
  <c r="E31" i="8"/>
  <c r="G31" i="8" s="1"/>
  <c r="E32" i="8"/>
  <c r="G32" i="8" s="1"/>
  <c r="E33" i="8"/>
  <c r="G6" i="8"/>
  <c r="G7" i="8"/>
  <c r="G9" i="8"/>
  <c r="G10" i="8"/>
  <c r="G11" i="8"/>
  <c r="G13" i="8"/>
  <c r="G14" i="8"/>
  <c r="G17" i="8"/>
  <c r="G18" i="8"/>
  <c r="G21" i="8"/>
  <c r="G22" i="8"/>
  <c r="G25" i="8"/>
  <c r="G26" i="8"/>
  <c r="G29" i="8"/>
  <c r="G33" i="8"/>
  <c r="G5" i="8"/>
  <c r="F5" i="7"/>
  <c r="F6" i="7"/>
  <c r="F7" i="7"/>
  <c r="F8" i="7"/>
  <c r="F31" i="7" s="1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7" i="5"/>
  <c r="F6" i="5"/>
  <c r="F5" i="5"/>
  <c r="F8" i="3"/>
  <c r="F9" i="3"/>
  <c r="F10" i="3"/>
  <c r="F11" i="3"/>
  <c r="F12" i="3"/>
  <c r="F13" i="3"/>
  <c r="F14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7" i="3"/>
  <c r="F6" i="4"/>
  <c r="F7" i="4"/>
  <c r="F8" i="4"/>
  <c r="F9" i="4"/>
  <c r="F10" i="4"/>
  <c r="F11" i="4"/>
  <c r="F12" i="4"/>
  <c r="F13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36" i="4"/>
  <c r="F37" i="4"/>
  <c r="F38" i="4"/>
  <c r="F39" i="4"/>
  <c r="F40" i="4"/>
  <c r="F41" i="4"/>
  <c r="F42" i="4"/>
  <c r="F43" i="4"/>
  <c r="F44" i="4"/>
  <c r="F45" i="4"/>
  <c r="F46" i="4"/>
  <c r="F47" i="4"/>
  <c r="F48" i="4"/>
  <c r="F49" i="4"/>
  <c r="F50" i="4"/>
  <c r="F51" i="4"/>
  <c r="F52" i="4"/>
  <c r="F53" i="4"/>
  <c r="F54" i="4"/>
  <c r="F55" i="4"/>
  <c r="F56" i="4"/>
  <c r="F58" i="4"/>
  <c r="F59" i="4"/>
  <c r="F60" i="4"/>
  <c r="F61" i="4"/>
  <c r="F62" i="4"/>
  <c r="F63" i="4"/>
  <c r="F64" i="4"/>
  <c r="F65" i="4"/>
  <c r="F66" i="4"/>
  <c r="F67" i="4"/>
  <c r="F68" i="4"/>
  <c r="F69" i="4"/>
  <c r="F70" i="4"/>
  <c r="F71" i="4"/>
  <c r="F72" i="4"/>
  <c r="F73" i="4"/>
  <c r="F74" i="4"/>
  <c r="F75" i="4"/>
  <c r="F76" i="4"/>
  <c r="F77" i="4"/>
  <c r="F78" i="4"/>
  <c r="F79" i="4"/>
  <c r="F80" i="4"/>
  <c r="F81" i="4"/>
  <c r="F82" i="4"/>
  <c r="F83" i="4"/>
  <c r="F84" i="4"/>
  <c r="F85" i="4"/>
  <c r="F5" i="4"/>
  <c r="I61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5" i="1"/>
  <c r="I85" i="4"/>
  <c r="I84" i="4"/>
  <c r="I82" i="4"/>
  <c r="H81" i="4"/>
  <c r="I81" i="4" s="1"/>
  <c r="H80" i="4"/>
  <c r="I80" i="4" s="1"/>
  <c r="H74" i="4"/>
  <c r="I74" i="4" s="1"/>
  <c r="I73" i="4"/>
  <c r="I72" i="4"/>
  <c r="I67" i="4"/>
  <c r="I65" i="4"/>
  <c r="I64" i="4"/>
  <c r="I63" i="4"/>
  <c r="I62" i="4"/>
  <c r="I58" i="4"/>
  <c r="E57" i="4"/>
  <c r="I57" i="4" s="1"/>
  <c r="I56" i="4"/>
  <c r="I55" i="4"/>
  <c r="I54" i="4"/>
  <c r="E53" i="4"/>
  <c r="I53" i="4" s="1"/>
  <c r="I49" i="4"/>
  <c r="I48" i="4"/>
  <c r="I47" i="4"/>
  <c r="I46" i="4"/>
  <c r="I41" i="4"/>
  <c r="E38" i="4"/>
  <c r="I38" i="4" s="1"/>
  <c r="I37" i="4"/>
  <c r="I36" i="4"/>
  <c r="I35" i="4"/>
  <c r="I34" i="4"/>
  <c r="E33" i="4"/>
  <c r="I33" i="4" s="1"/>
  <c r="I28" i="4"/>
  <c r="I27" i="4"/>
  <c r="I26" i="4"/>
  <c r="I25" i="4"/>
  <c r="I22" i="4"/>
  <c r="I21" i="4"/>
  <c r="I20" i="4"/>
  <c r="I16" i="4"/>
  <c r="E15" i="4"/>
  <c r="I15" i="4" s="1"/>
  <c r="E14" i="4"/>
  <c r="I14" i="4" s="1"/>
  <c r="I11" i="4"/>
  <c r="I10" i="4"/>
  <c r="I8" i="4"/>
  <c r="I6" i="4"/>
  <c r="I5" i="4"/>
  <c r="I66" i="3"/>
  <c r="I17" i="3"/>
  <c r="E16" i="3"/>
  <c r="I16" i="3" s="1"/>
  <c r="E15" i="3"/>
  <c r="I15" i="3" s="1"/>
  <c r="I57" i="3"/>
  <c r="E56" i="3"/>
  <c r="I56" i="3" s="1"/>
  <c r="I55" i="3"/>
  <c r="I54" i="3"/>
  <c r="I53" i="3"/>
  <c r="E52" i="3"/>
  <c r="I52" i="3" s="1"/>
  <c r="E37" i="3"/>
  <c r="I37" i="3" s="1"/>
  <c r="I36" i="3"/>
  <c r="I35" i="3"/>
  <c r="I34" i="3"/>
  <c r="I33" i="3"/>
  <c r="E32" i="3"/>
  <c r="I32" i="3" s="1"/>
  <c r="F14" i="4" l="1"/>
  <c r="F57" i="4"/>
  <c r="F52" i="3"/>
  <c r="F37" i="3"/>
  <c r="F16" i="3"/>
  <c r="F15" i="3"/>
  <c r="G34" i="8"/>
  <c r="F8" i="5"/>
  <c r="I86" i="4"/>
  <c r="I82" i="3"/>
  <c r="I82" i="1" l="1"/>
  <c r="I81" i="1"/>
  <c r="I79" i="1"/>
  <c r="H78" i="1"/>
  <c r="I78" i="1" s="1"/>
  <c r="H77" i="1"/>
  <c r="I77" i="1" s="1"/>
  <c r="H71" i="1"/>
  <c r="I71" i="1" s="1"/>
  <c r="I70" i="1"/>
  <c r="I69" i="1"/>
  <c r="I62" i="1"/>
  <c r="I60" i="1"/>
  <c r="I59" i="1"/>
  <c r="I48" i="1"/>
  <c r="I47" i="1"/>
  <c r="I46" i="1"/>
  <c r="I45" i="1"/>
  <c r="I40" i="1"/>
  <c r="I28" i="1"/>
  <c r="I27" i="1"/>
  <c r="I26" i="1"/>
  <c r="I25" i="1"/>
  <c r="I22" i="1"/>
  <c r="I21" i="1"/>
  <c r="I20" i="1"/>
  <c r="I11" i="1"/>
  <c r="I10" i="1"/>
  <c r="I8" i="1"/>
  <c r="I6" i="1"/>
  <c r="I5" i="1"/>
  <c r="I83" i="1" l="1"/>
</calcChain>
</file>

<file path=xl/sharedStrings.xml><?xml version="1.0" encoding="utf-8"?>
<sst xmlns="http://schemas.openxmlformats.org/spreadsheetml/2006/main" count="1031" uniqueCount="156">
  <si>
    <t>PLAN MAESTRO DE HACIENDA HUAYNA-LIMACHE y SAN THOMAS - VARIEDAD STEEL</t>
  </si>
  <si>
    <t>SEMANA/TIPO</t>
  </si>
  <si>
    <t>CÓDIGO</t>
  </si>
  <si>
    <t>PRODUCTO NOMBRE COMERCIAL</t>
  </si>
  <si>
    <t>DOSIS /ha (kg, g, cc)</t>
  </si>
  <si>
    <t>UNIDAD</t>
  </si>
  <si>
    <t>PRECIO UNITARIO</t>
  </si>
  <si>
    <t>TOTAL</t>
  </si>
  <si>
    <t>PLÁNTULA</t>
  </si>
  <si>
    <t>0 T</t>
  </si>
  <si>
    <t>SER-PLANTAS112</t>
  </si>
  <si>
    <t>PLANTA BROCOLI STEEL ST</t>
  </si>
  <si>
    <t>un</t>
  </si>
  <si>
    <t>Semana 0 Inmersión</t>
  </si>
  <si>
    <t>ELICITECH PENTAGRAM</t>
  </si>
  <si>
    <t>L</t>
  </si>
  <si>
    <t>DEXTROSA</t>
  </si>
  <si>
    <t>Kg</t>
  </si>
  <si>
    <t>SEMANA 0 HERBICIDA</t>
  </si>
  <si>
    <t>0 H</t>
  </si>
  <si>
    <t>AGR2584</t>
  </si>
  <si>
    <t>DUAL GOLD</t>
  </si>
  <si>
    <t>cc</t>
  </si>
  <si>
    <t xml:space="preserve"> 0 H</t>
  </si>
  <si>
    <t>g</t>
  </si>
  <si>
    <t>AGR5000</t>
  </si>
  <si>
    <t>CYPERPAC</t>
  </si>
  <si>
    <t>AGR2208</t>
  </si>
  <si>
    <t>NANOCROP Cu</t>
  </si>
  <si>
    <t>KALITER KALIUM</t>
  </si>
  <si>
    <t>l</t>
  </si>
  <si>
    <t>AGR2006</t>
  </si>
  <si>
    <t>ACIDO CITRICO ANHIDRIDO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                         </t>
  </si>
  <si>
    <t>AGR5353</t>
  </si>
  <si>
    <t>CONFORT</t>
  </si>
  <si>
    <t>SEMANA 2: ABONO BASE</t>
  </si>
  <si>
    <t>0 CB 1</t>
  </si>
  <si>
    <t>FER1111</t>
  </si>
  <si>
    <t>NITRATO DE AMONIO 33.5%N</t>
  </si>
  <si>
    <t>kg</t>
  </si>
  <si>
    <t>HUMIPLEX</t>
  </si>
  <si>
    <t>FERTIROOT</t>
  </si>
  <si>
    <t>FER1026</t>
  </si>
  <si>
    <t>NITRATO DE POTASIO 13.5%N, 46%K2O</t>
  </si>
  <si>
    <t>SEMANA 2 DRENCH</t>
  </si>
  <si>
    <t>2 d 1</t>
  </si>
  <si>
    <t>AGR2593</t>
  </si>
  <si>
    <t>NINJA</t>
  </si>
  <si>
    <t>AGR7080</t>
  </si>
  <si>
    <t>TRICHOBION PLUS</t>
  </si>
  <si>
    <t>ÁCIDO BÓRICO</t>
  </si>
  <si>
    <t>SEMANA 4: 1° FOLIAR</t>
  </si>
  <si>
    <t>4 FS 1</t>
  </si>
  <si>
    <t>NANOCROP Ca</t>
  </si>
  <si>
    <t>AGR5028</t>
  </si>
  <si>
    <t>METALOSATO DE BORO</t>
  </si>
  <si>
    <t>AGR4956</t>
  </si>
  <si>
    <t>ARPON</t>
  </si>
  <si>
    <t>SEMANA 5: FERTILIZACIÓN FASE 2</t>
  </si>
  <si>
    <t>5 FE 2</t>
  </si>
  <si>
    <t>FER1097</t>
  </si>
  <si>
    <t>SULFATO DE ZINC 35%Zn, 17%S</t>
  </si>
  <si>
    <t>FER1027</t>
  </si>
  <si>
    <t>BROCOLI I N 14%, P2O5 40%, K2O 0%, CaO 3%, 2%MgO</t>
  </si>
  <si>
    <t>FER1118</t>
  </si>
  <si>
    <t>YARA NITRABOR  15%N, 26%CaO, 0.3%B</t>
  </si>
  <si>
    <t>FER1023</t>
  </si>
  <si>
    <t>MURIATO DE POTASIO 60% K2O</t>
  </si>
  <si>
    <t>FER1277</t>
  </si>
  <si>
    <t>SULFATO DE POTASIO  50% K2O, 17%S</t>
  </si>
  <si>
    <t>SEMANA 5: 2° FOLIAR</t>
  </si>
  <si>
    <t>5 FS 2</t>
  </si>
  <si>
    <t>V.TRICHOBION PLUS</t>
  </si>
  <si>
    <t>AGR2207</t>
  </si>
  <si>
    <t>SEMANA 6: 3° FOLIAR</t>
  </si>
  <si>
    <t>6 FS 3</t>
  </si>
  <si>
    <t>AGR5286</t>
  </si>
  <si>
    <t>ACETALAQ</t>
  </si>
  <si>
    <t>AGR6921</t>
  </si>
  <si>
    <t>MAGMA DUPLO</t>
  </si>
  <si>
    <t>SEMANA 8 FERTILIZACION FASE 3</t>
  </si>
  <si>
    <t>8 FE 3</t>
  </si>
  <si>
    <t>SEMANA 8: 4° FOLIAR</t>
  </si>
  <si>
    <t>8 FS 4</t>
  </si>
  <si>
    <t>AGR4929</t>
  </si>
  <si>
    <t>INTREPID</t>
  </si>
  <si>
    <t>AGR5275</t>
  </si>
  <si>
    <t>IMIDALAQ</t>
  </si>
  <si>
    <t>AGR6948</t>
  </si>
  <si>
    <t>COSACO</t>
  </si>
  <si>
    <t>KALITER CALIX</t>
  </si>
  <si>
    <t>SEMANA 9: FERTILIZACION FASE 4</t>
  </si>
  <si>
    <t>9 FE 4</t>
  </si>
  <si>
    <t>SEMANA 9: 5° FOLIAR</t>
  </si>
  <si>
    <t>9 FS 5</t>
  </si>
  <si>
    <t>AGR5444</t>
  </si>
  <si>
    <t>FIDELITY</t>
  </si>
  <si>
    <t>AGR5441</t>
  </si>
  <si>
    <t>AMPLIGO</t>
  </si>
  <si>
    <t>KALITER GB30</t>
  </si>
  <si>
    <t>SEMANA 10: 6° FOLIAR</t>
  </si>
  <si>
    <t>10 FS 6</t>
  </si>
  <si>
    <t>AGR2176</t>
  </si>
  <si>
    <t>TRACER</t>
  </si>
  <si>
    <t>AGR5373</t>
  </si>
  <si>
    <t>TUNIC</t>
  </si>
  <si>
    <t>SEMANA 12: 7° FOLIAR</t>
  </si>
  <si>
    <t>Hcda Santo Thomas</t>
  </si>
  <si>
    <t>OH</t>
  </si>
  <si>
    <t>AGR2206</t>
  </si>
  <si>
    <t>PQ SYNERGETIC</t>
  </si>
  <si>
    <t>AGR6587</t>
  </si>
  <si>
    <t>ORGANIUM</t>
  </si>
  <si>
    <t>CALDO BORDELÉS</t>
  </si>
  <si>
    <t>SEMANA 0: ABONO BASE</t>
  </si>
  <si>
    <t>FER1272</t>
  </si>
  <si>
    <t>CALCIMEND</t>
  </si>
  <si>
    <t>FER1236</t>
  </si>
  <si>
    <t>ESTA KIESERITE</t>
  </si>
  <si>
    <t>MELAZA</t>
  </si>
  <si>
    <t>SEMANA 4: APLICACIÓN FITOSANITARIA 1</t>
  </si>
  <si>
    <t>AGR2251</t>
  </si>
  <si>
    <t>BIOSOLAR</t>
  </si>
  <si>
    <t>SEMANA 5: APLICACIÓN FITOSANITARIA 2</t>
  </si>
  <si>
    <t>SEMANA 6: APLICACIÓN FITOSANITARIA 3</t>
  </si>
  <si>
    <t>AGR5027</t>
  </si>
  <si>
    <t>METALOSATO DE CALCIO</t>
  </si>
  <si>
    <t>AGR4973</t>
  </si>
  <si>
    <t>METALOSATO DE POTASIO</t>
  </si>
  <si>
    <t>SEMANA 8 APLICACION FITOSANITARIA 4</t>
  </si>
  <si>
    <t>AGR4971</t>
  </si>
  <si>
    <t>METALOSATO DE MAGNESIO</t>
  </si>
  <si>
    <t>AGR6982</t>
  </si>
  <si>
    <t>OPTITRON</t>
  </si>
  <si>
    <t>SEMANA 9: APLICACIÓN FITOSANITARIA 5</t>
  </si>
  <si>
    <t>AGR2098</t>
  </si>
  <si>
    <t>LANCHERO</t>
  </si>
  <si>
    <t>SEMANA 10: APLICACIÓN FITOSANITARIA 6</t>
  </si>
  <si>
    <t>TOATL</t>
  </si>
  <si>
    <t>Dosis/ 1/2 ha
Kg,g,cc</t>
  </si>
  <si>
    <t>TOTAL Ha</t>
  </si>
  <si>
    <t>PRODUCTOS Y DOSIFICACIONES VITENZA</t>
  </si>
  <si>
    <t>DSCTO</t>
  </si>
  <si>
    <t xml:space="preserve">Semana </t>
  </si>
  <si>
    <t>Aplicación</t>
  </si>
  <si>
    <t>Nombre comercial</t>
  </si>
  <si>
    <t>Dosis (Kg, L)/Ha</t>
  </si>
  <si>
    <t>Costo unitario</t>
  </si>
  <si>
    <t>Costo Dosis/Ha</t>
  </si>
  <si>
    <t>Inmersión</t>
  </si>
  <si>
    <t>Herbicida</t>
  </si>
  <si>
    <t>Abono Base</t>
  </si>
  <si>
    <t>Drench</t>
  </si>
  <si>
    <t>Foliar</t>
  </si>
  <si>
    <t>Abono</t>
  </si>
  <si>
    <t>Dosis (Kg, L)/1/2 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</si>
</sst>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$&quot;* #,##0.00_ ;_ &quot;$&quot;* \-#,##0.00_ ;_ &quot;$&quot;* &quot;-&quot;??_ ;_ @_ "/>
    <numFmt numFmtId="164" formatCode="_ &quot;$&quot;* #,##0.0000_ ;_ &quot;$&quot;* \-#,##0.0000_ ;_ &quot;$&quot;* &quot;-&quot;??_ ;_ @_ 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000000"/>
      <name val="Century Gothic"/>
      <family val="2"/>
    </font>
    <font>
      <sz val="11"/>
      <color rgb="FF000000"/>
      <name val="Century Gothic"/>
      <family val="2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sz val="10"/>
      <color theme="1"/>
      <name val="Century Gothic"/>
      <family val="2"/>
    </font>
    <font>
      <b/>
      <sz val="10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color rgb="FFFF0000"/>
      <name val="Century Gothic"/>
      <family val="2"/>
    </font>
    <font>
      <b/>
      <sz val="10"/>
      <name val="Century Gothic"/>
      <family val="2"/>
    </font>
    <font>
      <sz val="10"/>
      <name val="Century Gothic"/>
      <family val="2"/>
    </font>
    <font>
      <sz val="10"/>
      <color rgb="FF333333"/>
      <name val="Century Gothic"/>
      <family val="2"/>
    </font>
    <font>
      <sz val="10"/>
      <color rgb="FFFF0000"/>
      <name val="Century Gothic"/>
      <family val="2"/>
    </font>
    <font>
      <b/>
      <sz val="10"/>
      <color theme="1"/>
      <name val="Century Gothic"/>
      <family val="2"/>
    </font>
    <font>
      <b/>
      <sz val="11"/>
      <color rgb="FF333333"/>
      <name val="Century Gothic"/>
      <family val="2"/>
    </font>
  </fonts>
  <fills count="17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75717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8F2BC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5A5A5"/>
        <bgColor indexed="64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439">
    <xf numFmtId="0" fontId="0" fillId="0" borderId="0" xfId="0"/>
    <xf numFmtId="14" fontId="2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2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right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vertical="center"/>
    </xf>
    <xf numFmtId="44" fontId="4" fillId="7" borderId="7" xfId="1" applyFont="1" applyFill="1" applyBorder="1" applyAlignment="1">
      <alignment horizontal="right"/>
    </xf>
    <xf numFmtId="0" fontId="3" fillId="7" borderId="10" xfId="0" applyFont="1" applyFill="1" applyBorder="1" applyAlignment="1">
      <alignment horizontal="center" vertical="center"/>
    </xf>
    <xf numFmtId="0" fontId="3" fillId="7" borderId="10" xfId="0" applyFont="1" applyFill="1" applyBorder="1" applyAlignment="1">
      <alignment vertical="center"/>
    </xf>
    <xf numFmtId="44" fontId="3" fillId="7" borderId="10" xfId="0" applyNumberFormat="1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vertical="center"/>
    </xf>
    <xf numFmtId="0" fontId="3" fillId="5" borderId="7" xfId="0" applyFont="1" applyFill="1" applyBorder="1" applyAlignment="1">
      <alignment horizontal="center" vertical="center"/>
    </xf>
    <xf numFmtId="0" fontId="3" fillId="5" borderId="7" xfId="0" applyFon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vertical="center"/>
    </xf>
    <xf numFmtId="44" fontId="3" fillId="7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right" vertical="center"/>
    </xf>
    <xf numFmtId="164" fontId="4" fillId="7" borderId="1" xfId="1" applyNumberFormat="1" applyFont="1" applyFill="1" applyBorder="1" applyAlignment="1">
      <alignment horizontal="right"/>
    </xf>
    <xf numFmtId="0" fontId="3" fillId="2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vertical="center"/>
    </xf>
    <xf numFmtId="0" fontId="3" fillId="5" borderId="10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right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vertical="center"/>
    </xf>
    <xf numFmtId="0" fontId="3" fillId="10" borderId="1" xfId="0" applyFont="1" applyFill="1" applyBorder="1" applyAlignment="1">
      <alignment horizontal="center" vertical="center"/>
    </xf>
    <xf numFmtId="44" fontId="3" fillId="10" borderId="1" xfId="0" applyNumberFormat="1" applyFont="1" applyFill="1" applyBorder="1" applyAlignment="1">
      <alignment horizontal="right" vertical="center"/>
    </xf>
    <xf numFmtId="0" fontId="3" fillId="2" borderId="10" xfId="0" applyFont="1" applyFill="1" applyBorder="1" applyAlignment="1">
      <alignment horizontal="center" vertical="center" wrapText="1"/>
    </xf>
    <xf numFmtId="0" fontId="3" fillId="12" borderId="10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right" vertical="center"/>
    </xf>
    <xf numFmtId="0" fontId="3" fillId="12" borderId="7" xfId="0" applyFont="1" applyFill="1" applyBorder="1" applyAlignment="1">
      <alignment horizontal="center" vertical="center" wrapText="1"/>
    </xf>
    <xf numFmtId="44" fontId="4" fillId="7" borderId="14" xfId="1" applyFont="1" applyFill="1" applyBorder="1" applyAlignment="1">
      <alignment horizontal="right"/>
    </xf>
    <xf numFmtId="0" fontId="3" fillId="2" borderId="10" xfId="0" applyFont="1" applyFill="1" applyBorder="1" applyAlignment="1">
      <alignment vertical="center"/>
    </xf>
    <xf numFmtId="0" fontId="4" fillId="7" borderId="7" xfId="0" applyFont="1" applyFill="1" applyBorder="1"/>
    <xf numFmtId="164" fontId="4" fillId="7" borderId="7" xfId="1" applyNumberFormat="1" applyFont="1" applyFill="1" applyBorder="1" applyAlignment="1">
      <alignment horizontal="right"/>
    </xf>
    <xf numFmtId="0" fontId="4" fillId="7" borderId="10" xfId="0" applyFont="1" applyFill="1" applyBorder="1"/>
    <xf numFmtId="164" fontId="4" fillId="7" borderId="10" xfId="1" applyNumberFormat="1" applyFont="1" applyFill="1" applyBorder="1" applyAlignment="1">
      <alignment horizontal="right"/>
    </xf>
    <xf numFmtId="0" fontId="4" fillId="0" borderId="0" xfId="0" applyFont="1"/>
    <xf numFmtId="0" fontId="4" fillId="0" borderId="15" xfId="0" applyFont="1" applyBorder="1"/>
    <xf numFmtId="0" fontId="3" fillId="5" borderId="4" xfId="0" applyFont="1" applyFill="1" applyBorder="1" applyAlignment="1">
      <alignment horizontal="right" vertical="center"/>
    </xf>
    <xf numFmtId="0" fontId="3" fillId="5" borderId="25" xfId="0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/>
    </xf>
    <xf numFmtId="0" fontId="6" fillId="5" borderId="0" xfId="0" applyFont="1" applyFill="1"/>
    <xf numFmtId="0" fontId="7" fillId="2" borderId="3" xfId="0" applyFont="1" applyFill="1" applyBorder="1" applyAlignment="1">
      <alignment horizontal="center" vertical="center"/>
    </xf>
    <xf numFmtId="14" fontId="7" fillId="2" borderId="2" xfId="0" applyNumberFormat="1" applyFont="1" applyFill="1" applyBorder="1" applyAlignment="1">
      <alignment horizontal="center" vertical="center"/>
    </xf>
    <xf numFmtId="0" fontId="7" fillId="16" borderId="0" xfId="0" applyFont="1" applyFill="1" applyAlignment="1">
      <alignment horizontal="center" vertical="center"/>
    </xf>
    <xf numFmtId="0" fontId="7" fillId="16" borderId="2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7" fillId="16" borderId="3" xfId="0" applyFont="1" applyFill="1" applyBorder="1" applyAlignment="1">
      <alignment horizontal="center" vertical="center" wrapText="1"/>
    </xf>
    <xf numFmtId="0" fontId="8" fillId="2" borderId="23" xfId="0" applyFont="1" applyFill="1" applyBorder="1" applyAlignment="1">
      <alignment vertical="center"/>
    </xf>
    <xf numFmtId="0" fontId="8" fillId="2" borderId="0" xfId="0" applyFont="1" applyFill="1" applyAlignment="1">
      <alignment vertical="center"/>
    </xf>
    <xf numFmtId="0" fontId="8" fillId="2" borderId="24" xfId="0" applyFont="1" applyFill="1" applyBorder="1" applyAlignment="1">
      <alignment vertical="center"/>
    </xf>
    <xf numFmtId="0" fontId="8" fillId="5" borderId="0" xfId="0" applyFont="1" applyFill="1" applyAlignment="1">
      <alignment vertical="center"/>
    </xf>
    <xf numFmtId="0" fontId="8" fillId="5" borderId="0" xfId="0" applyFont="1" applyFill="1" applyAlignment="1">
      <alignment horizontal="center" vertical="center"/>
    </xf>
    <xf numFmtId="0" fontId="8" fillId="5" borderId="25" xfId="0" applyFont="1" applyFill="1" applyBorder="1" applyAlignment="1">
      <alignment horizontal="center" vertical="center"/>
    </xf>
    <xf numFmtId="0" fontId="7" fillId="4" borderId="26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/>
    </xf>
    <xf numFmtId="0" fontId="8" fillId="2" borderId="28" xfId="0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vertical="center"/>
    </xf>
    <xf numFmtId="0" fontId="8" fillId="5" borderId="28" xfId="0" applyFont="1" applyFill="1" applyBorder="1" applyAlignment="1">
      <alignment horizontal="center" vertical="center"/>
    </xf>
    <xf numFmtId="0" fontId="8" fillId="5" borderId="28" xfId="0" applyFont="1" applyFill="1" applyBorder="1" applyAlignment="1">
      <alignment horizontal="right" vertical="center"/>
    </xf>
    <xf numFmtId="44" fontId="8" fillId="5" borderId="28" xfId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vertical="center"/>
    </xf>
    <xf numFmtId="0" fontId="8" fillId="5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right" vertical="center"/>
    </xf>
    <xf numFmtId="44" fontId="8" fillId="5" borderId="4" xfId="1" applyFont="1" applyFill="1" applyBorder="1" applyAlignment="1">
      <alignment horizontal="center" vertical="center"/>
    </xf>
    <xf numFmtId="0" fontId="8" fillId="12" borderId="2" xfId="0" applyFont="1" applyFill="1" applyBorder="1" applyAlignment="1">
      <alignment horizontal="center" vertical="center"/>
    </xf>
    <xf numFmtId="0" fontId="8" fillId="12" borderId="4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vertical="center"/>
    </xf>
    <xf numFmtId="1" fontId="6" fillId="5" borderId="7" xfId="0" applyNumberFormat="1" applyFont="1" applyFill="1" applyBorder="1" applyAlignment="1">
      <alignment horizontal="center"/>
    </xf>
    <xf numFmtId="0" fontId="8" fillId="5" borderId="7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right" vertical="center"/>
    </xf>
    <xf numFmtId="44" fontId="8" fillId="5" borderId="8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vertical="center"/>
    </xf>
    <xf numFmtId="1" fontId="6" fillId="5" borderId="1" xfId="0" applyNumberFormat="1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 vertical="center"/>
    </xf>
    <xf numFmtId="44" fontId="8" fillId="5" borderId="13" xfId="1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1" fillId="7" borderId="1" xfId="0" applyFont="1" applyFill="1" applyBorder="1" applyAlignment="1">
      <alignment vertical="center"/>
    </xf>
    <xf numFmtId="1" fontId="11" fillId="7" borderId="1" xfId="0" applyNumberFormat="1" applyFont="1" applyFill="1" applyBorder="1" applyAlignment="1">
      <alignment horizontal="center"/>
    </xf>
    <xf numFmtId="0" fontId="11" fillId="7" borderId="1" xfId="0" applyFont="1" applyFill="1" applyBorder="1" applyAlignment="1">
      <alignment horizontal="center" vertical="center"/>
    </xf>
    <xf numFmtId="44" fontId="11" fillId="7" borderId="13" xfId="1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center" vertical="center" wrapText="1"/>
    </xf>
    <xf numFmtId="0" fontId="8" fillId="10" borderId="10" xfId="0" applyFont="1" applyFill="1" applyBorder="1" applyAlignment="1">
      <alignment vertical="center"/>
    </xf>
    <xf numFmtId="0" fontId="12" fillId="10" borderId="10" xfId="0" applyFont="1" applyFill="1" applyBorder="1" applyAlignment="1">
      <alignment horizontal="center" vertical="center"/>
    </xf>
    <xf numFmtId="0" fontId="8" fillId="10" borderId="10" xfId="0" applyFont="1" applyFill="1" applyBorder="1" applyAlignment="1">
      <alignment horizontal="right" vertical="center"/>
    </xf>
    <xf numFmtId="44" fontId="8" fillId="10" borderId="11" xfId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3" fontId="8" fillId="5" borderId="4" xfId="0" applyNumberFormat="1" applyFont="1" applyFill="1" applyBorder="1" applyAlignment="1">
      <alignment horizontal="right" vertical="center"/>
    </xf>
    <xf numFmtId="0" fontId="8" fillId="12" borderId="2" xfId="0" applyFont="1" applyFill="1" applyBorder="1" applyAlignment="1">
      <alignment horizontal="center" vertical="center" wrapText="1"/>
    </xf>
    <xf numFmtId="0" fontId="8" fillId="2" borderId="29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vertical="center"/>
    </xf>
    <xf numFmtId="0" fontId="12" fillId="10" borderId="7" xfId="0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center" vertical="center"/>
    </xf>
    <xf numFmtId="3" fontId="8" fillId="10" borderId="7" xfId="0" applyNumberFormat="1" applyFont="1" applyFill="1" applyBorder="1" applyAlignment="1">
      <alignment horizontal="right" vertical="center"/>
    </xf>
    <xf numFmtId="44" fontId="8" fillId="10" borderId="8" xfId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8" fillId="10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vertical="center"/>
    </xf>
    <xf numFmtId="0" fontId="12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8" fillId="10" borderId="1" xfId="0" applyFont="1" applyFill="1" applyBorder="1" applyAlignment="1">
      <alignment horizontal="right" vertical="center"/>
    </xf>
    <xf numFmtId="44" fontId="8" fillId="10" borderId="13" xfId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right" vertical="center"/>
    </xf>
    <xf numFmtId="0" fontId="8" fillId="12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vertical="center" wrapText="1"/>
    </xf>
    <xf numFmtId="0" fontId="8" fillId="2" borderId="28" xfId="0" applyFont="1" applyFill="1" applyBorder="1" applyAlignment="1">
      <alignment horizontal="center" vertical="center" wrapText="1"/>
    </xf>
    <xf numFmtId="3" fontId="8" fillId="5" borderId="28" xfId="0" applyNumberFormat="1" applyFont="1" applyFill="1" applyBorder="1" applyAlignment="1">
      <alignment horizontal="right" vertical="center"/>
    </xf>
    <xf numFmtId="0" fontId="11" fillId="10" borderId="1" xfId="0" applyFont="1" applyFill="1" applyBorder="1" applyAlignment="1">
      <alignment horizontal="center" vertical="center" wrapText="1"/>
    </xf>
    <xf numFmtId="0" fontId="11" fillId="10" borderId="1" xfId="0" applyFont="1" applyFill="1" applyBorder="1" applyAlignment="1">
      <alignment vertical="center"/>
    </xf>
    <xf numFmtId="0" fontId="11" fillId="10" borderId="1" xfId="0" applyFont="1" applyFill="1" applyBorder="1" applyAlignment="1">
      <alignment horizontal="center" vertical="center"/>
    </xf>
    <xf numFmtId="0" fontId="11" fillId="10" borderId="1" xfId="0" applyFont="1" applyFill="1" applyBorder="1" applyAlignment="1">
      <alignment horizontal="right" vertical="center"/>
    </xf>
    <xf numFmtId="44" fontId="11" fillId="10" borderId="13" xfId="1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right" vertical="center"/>
    </xf>
    <xf numFmtId="0" fontId="8" fillId="2" borderId="10" xfId="0" applyFont="1" applyFill="1" applyBorder="1" applyAlignment="1">
      <alignment horizontal="center" vertical="center" wrapText="1"/>
    </xf>
    <xf numFmtId="0" fontId="8" fillId="12" borderId="10" xfId="0" applyFont="1" applyFill="1" applyBorder="1" applyAlignment="1">
      <alignment horizontal="center" vertical="center" wrapText="1"/>
    </xf>
    <xf numFmtId="0" fontId="8" fillId="5" borderId="10" xfId="0" applyFont="1" applyFill="1" applyBorder="1" applyAlignment="1">
      <alignment vertical="center"/>
    </xf>
    <xf numFmtId="0" fontId="12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center" vertical="center"/>
    </xf>
    <xf numFmtId="0" fontId="8" fillId="5" borderId="10" xfId="0" applyFont="1" applyFill="1" applyBorder="1" applyAlignment="1">
      <alignment horizontal="right" vertical="center"/>
    </xf>
    <xf numFmtId="44" fontId="8" fillId="5" borderId="11" xfId="1" applyFont="1" applyFill="1" applyBorder="1" applyAlignment="1">
      <alignment horizontal="center" vertical="center"/>
    </xf>
    <xf numFmtId="0" fontId="8" fillId="10" borderId="7" xfId="0" applyFont="1" applyFill="1" applyBorder="1" applyAlignment="1">
      <alignment horizontal="right" vertical="center"/>
    </xf>
    <xf numFmtId="0" fontId="8" fillId="2" borderId="25" xfId="0" applyFont="1" applyFill="1" applyBorder="1" applyAlignment="1">
      <alignment horizontal="center" vertical="center" wrapText="1"/>
    </xf>
    <xf numFmtId="0" fontId="8" fillId="5" borderId="25" xfId="0" applyFont="1" applyFill="1" applyBorder="1" applyAlignment="1">
      <alignment vertical="center"/>
    </xf>
    <xf numFmtId="0" fontId="8" fillId="5" borderId="25" xfId="0" applyFont="1" applyFill="1" applyBorder="1" applyAlignment="1">
      <alignment horizontal="right" vertical="center"/>
    </xf>
    <xf numFmtId="44" fontId="8" fillId="5" borderId="25" xfId="1" applyFont="1" applyFill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 wrapText="1"/>
    </xf>
    <xf numFmtId="0" fontId="8" fillId="12" borderId="4" xfId="0" applyFont="1" applyFill="1" applyBorder="1" applyAlignment="1">
      <alignment vertical="center"/>
    </xf>
    <xf numFmtId="0" fontId="8" fillId="2" borderId="25" xfId="0" applyFont="1" applyFill="1" applyBorder="1" applyAlignment="1">
      <alignment horizontal="right" vertical="center"/>
    </xf>
    <xf numFmtId="44" fontId="8" fillId="12" borderId="25" xfId="1" applyFont="1" applyFill="1" applyBorder="1" applyAlignment="1">
      <alignment horizontal="center" vertical="center"/>
    </xf>
    <xf numFmtId="0" fontId="8" fillId="2" borderId="4" xfId="0" applyFont="1" applyFill="1" applyBorder="1" applyAlignment="1">
      <alignment vertical="center"/>
    </xf>
    <xf numFmtId="0" fontId="8" fillId="2" borderId="0" xfId="0" applyFont="1" applyFill="1"/>
    <xf numFmtId="0" fontId="6" fillId="2" borderId="5" xfId="0" applyFont="1" applyFill="1" applyBorder="1"/>
    <xf numFmtId="44" fontId="14" fillId="2" borderId="1" xfId="1" applyFont="1" applyFill="1" applyBorder="1"/>
    <xf numFmtId="0" fontId="6" fillId="0" borderId="0" xfId="0" applyFont="1"/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vertical="center"/>
    </xf>
    <xf numFmtId="0" fontId="15" fillId="5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2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12" borderId="4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12" borderId="25" xfId="0" applyFont="1" applyFill="1" applyBorder="1" applyAlignment="1">
      <alignment horizontal="center" vertical="center" wrapText="1"/>
    </xf>
    <xf numFmtId="0" fontId="2" fillId="5" borderId="25" xfId="0" applyFont="1" applyFill="1" applyBorder="1" applyAlignment="1">
      <alignment vertical="center"/>
    </xf>
    <xf numFmtId="0" fontId="15" fillId="5" borderId="25" xfId="0" applyFont="1" applyFill="1" applyBorder="1" applyAlignment="1">
      <alignment horizontal="center" vertical="center"/>
    </xf>
    <xf numFmtId="0" fontId="2" fillId="5" borderId="25" xfId="0" applyFont="1" applyFill="1" applyBorder="1" applyAlignment="1">
      <alignment horizontal="center" vertical="center"/>
    </xf>
    <xf numFmtId="14" fontId="7" fillId="3" borderId="2" xfId="0" applyNumberFormat="1" applyFont="1" applyFill="1" applyBorder="1" applyAlignment="1">
      <alignment horizontal="center" vertical="center"/>
    </xf>
    <xf numFmtId="0" fontId="7" fillId="3" borderId="3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3" borderId="2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7" fillId="4" borderId="5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right" vertical="center"/>
    </xf>
    <xf numFmtId="44" fontId="8" fillId="5" borderId="5" xfId="1" applyFont="1" applyFill="1" applyBorder="1" applyAlignment="1">
      <alignment horizontal="center" vertical="center"/>
    </xf>
    <xf numFmtId="0" fontId="8" fillId="7" borderId="7" xfId="0" applyFont="1" applyFill="1" applyBorder="1" applyAlignment="1">
      <alignment horizontal="center" vertical="center"/>
    </xf>
    <xf numFmtId="0" fontId="8" fillId="7" borderId="7" xfId="0" applyFont="1" applyFill="1" applyBorder="1" applyAlignment="1">
      <alignment vertical="center"/>
    </xf>
    <xf numFmtId="44" fontId="6" fillId="7" borderId="7" xfId="1" applyFont="1" applyFill="1" applyBorder="1" applyAlignment="1">
      <alignment horizontal="right"/>
    </xf>
    <xf numFmtId="44" fontId="8" fillId="7" borderId="8" xfId="1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horizontal="center" vertical="center"/>
    </xf>
    <xf numFmtId="0" fontId="8" fillId="7" borderId="10" xfId="0" applyFont="1" applyFill="1" applyBorder="1" applyAlignment="1">
      <alignment vertical="center"/>
    </xf>
    <xf numFmtId="44" fontId="8" fillId="7" borderId="10" xfId="0" applyNumberFormat="1" applyFont="1" applyFill="1" applyBorder="1" applyAlignment="1">
      <alignment horizontal="right" vertical="center"/>
    </xf>
    <xf numFmtId="44" fontId="8" fillId="7" borderId="11" xfId="1" applyFont="1" applyFill="1" applyBorder="1" applyAlignment="1">
      <alignment horizontal="center" vertical="center"/>
    </xf>
    <xf numFmtId="44" fontId="8" fillId="7" borderId="1" xfId="0" applyNumberFormat="1" applyFont="1" applyFill="1" applyBorder="1" applyAlignment="1">
      <alignment horizontal="right" vertical="center"/>
    </xf>
    <xf numFmtId="44" fontId="8" fillId="7" borderId="13" xfId="1" applyFont="1" applyFill="1" applyBorder="1" applyAlignment="1">
      <alignment horizontal="center" vertical="center"/>
    </xf>
    <xf numFmtId="164" fontId="6" fillId="7" borderId="1" xfId="1" applyNumberFormat="1" applyFont="1" applyFill="1" applyBorder="1" applyAlignment="1">
      <alignment horizontal="right"/>
    </xf>
    <xf numFmtId="0" fontId="8" fillId="2" borderId="10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3" fontId="8" fillId="5" borderId="1" xfId="0" applyNumberFormat="1" applyFont="1" applyFill="1" applyBorder="1" applyAlignment="1">
      <alignment horizontal="right" vertical="center"/>
    </xf>
    <xf numFmtId="44" fontId="8" fillId="10" borderId="1" xfId="0" applyNumberFormat="1" applyFont="1" applyFill="1" applyBorder="1" applyAlignment="1">
      <alignment horizontal="right" vertical="center"/>
    </xf>
    <xf numFmtId="3" fontId="8" fillId="5" borderId="7" xfId="0" applyNumberFormat="1" applyFont="1" applyFill="1" applyBorder="1" applyAlignment="1">
      <alignment horizontal="right" vertical="center"/>
    </xf>
    <xf numFmtId="0" fontId="8" fillId="12" borderId="7" xfId="0" applyFont="1" applyFill="1" applyBorder="1" applyAlignment="1">
      <alignment horizontal="center" vertical="center" wrapText="1"/>
    </xf>
    <xf numFmtId="44" fontId="6" fillId="7" borderId="14" xfId="1" applyFont="1" applyFill="1" applyBorder="1" applyAlignment="1">
      <alignment horizontal="right"/>
    </xf>
    <xf numFmtId="0" fontId="8" fillId="2" borderId="10" xfId="0" applyFont="1" applyFill="1" applyBorder="1" applyAlignment="1">
      <alignment vertical="center"/>
    </xf>
    <xf numFmtId="0" fontId="6" fillId="7" borderId="7" xfId="0" applyFont="1" applyFill="1" applyBorder="1"/>
    <xf numFmtId="164" fontId="6" fillId="7" borderId="7" xfId="1" applyNumberFormat="1" applyFont="1" applyFill="1" applyBorder="1" applyAlignment="1">
      <alignment horizontal="right"/>
    </xf>
    <xf numFmtId="0" fontId="6" fillId="7" borderId="10" xfId="0" applyFont="1" applyFill="1" applyBorder="1"/>
    <xf numFmtId="164" fontId="6" fillId="7" borderId="10" xfId="1" applyNumberFormat="1" applyFont="1" applyFill="1" applyBorder="1" applyAlignment="1">
      <alignment horizontal="right"/>
    </xf>
    <xf numFmtId="0" fontId="6" fillId="0" borderId="15" xfId="0" applyFont="1" applyBorder="1"/>
    <xf numFmtId="44" fontId="14" fillId="2" borderId="18" xfId="1" applyFont="1" applyFill="1" applyBorder="1"/>
    <xf numFmtId="4" fontId="3" fillId="5" borderId="1" xfId="0" applyNumberFormat="1" applyFont="1" applyFill="1" applyBorder="1" applyAlignment="1">
      <alignment horizontal="right" vertical="center"/>
    </xf>
    <xf numFmtId="4" fontId="3" fillId="5" borderId="4" xfId="0" applyNumberFormat="1" applyFont="1" applyFill="1" applyBorder="1" applyAlignment="1">
      <alignment horizontal="right" vertical="center"/>
    </xf>
    <xf numFmtId="2" fontId="3" fillId="5" borderId="10" xfId="0" applyNumberFormat="1" applyFont="1" applyFill="1" applyBorder="1" applyAlignment="1">
      <alignment horizontal="right" vertical="center"/>
    </xf>
    <xf numFmtId="44" fontId="3" fillId="5" borderId="30" xfId="1" applyFont="1" applyFill="1" applyBorder="1" applyAlignment="1">
      <alignment horizontal="center" vertical="center"/>
    </xf>
    <xf numFmtId="44" fontId="3" fillId="7" borderId="31" xfId="1" applyFont="1" applyFill="1" applyBorder="1" applyAlignment="1">
      <alignment horizontal="center" vertical="center"/>
    </xf>
    <xf numFmtId="44" fontId="3" fillId="7" borderId="32" xfId="1" applyFont="1" applyFill="1" applyBorder="1" applyAlignment="1">
      <alignment horizontal="center" vertical="center"/>
    </xf>
    <xf numFmtId="44" fontId="3" fillId="5" borderId="31" xfId="1" applyFont="1" applyFill="1" applyBorder="1" applyAlignment="1">
      <alignment horizontal="center" vertical="center"/>
    </xf>
    <xf numFmtId="44" fontId="3" fillId="7" borderId="33" xfId="1" applyFont="1" applyFill="1" applyBorder="1" applyAlignment="1">
      <alignment horizontal="center" vertical="center"/>
    </xf>
    <xf numFmtId="44" fontId="3" fillId="5" borderId="33" xfId="1" applyFont="1" applyFill="1" applyBorder="1" applyAlignment="1">
      <alignment horizontal="center" vertical="center"/>
    </xf>
    <xf numFmtId="44" fontId="3" fillId="5" borderId="32" xfId="1" applyFont="1" applyFill="1" applyBorder="1" applyAlignment="1">
      <alignment horizontal="center" vertical="center"/>
    </xf>
    <xf numFmtId="44" fontId="2" fillId="5" borderId="3" xfId="1" applyFont="1" applyFill="1" applyBorder="1" applyAlignment="1">
      <alignment horizontal="center" vertical="center"/>
    </xf>
    <xf numFmtId="44" fontId="3" fillId="10" borderId="33" xfId="1" applyFont="1" applyFill="1" applyBorder="1" applyAlignment="1">
      <alignment horizontal="center" vertical="center"/>
    </xf>
    <xf numFmtId="44" fontId="2" fillId="5" borderId="0" xfId="1" applyFont="1" applyFill="1" applyBorder="1" applyAlignment="1">
      <alignment horizontal="center" vertical="center"/>
    </xf>
    <xf numFmtId="44" fontId="5" fillId="2" borderId="34" xfId="1" applyFont="1" applyFill="1" applyBorder="1"/>
    <xf numFmtId="2" fontId="8" fillId="7" borderId="7" xfId="0" applyNumberFormat="1" applyFont="1" applyFill="1" applyBorder="1" applyAlignment="1">
      <alignment horizontal="center" vertical="center"/>
    </xf>
    <xf numFmtId="0" fontId="5" fillId="5" borderId="37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wrapText="1"/>
    </xf>
    <xf numFmtId="0" fontId="5" fillId="5" borderId="38" xfId="0" applyFont="1" applyFill="1" applyBorder="1" applyAlignment="1">
      <alignment horizontal="center" wrapText="1"/>
    </xf>
    <xf numFmtId="0" fontId="3" fillId="0" borderId="7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44" fontId="4" fillId="0" borderId="7" xfId="1" applyFont="1" applyFill="1" applyBorder="1" applyAlignment="1">
      <alignment horizontal="right"/>
    </xf>
    <xf numFmtId="44" fontId="4" fillId="5" borderId="8" xfId="2" applyFont="1" applyFill="1" applyBorder="1"/>
    <xf numFmtId="0" fontId="3" fillId="0" borderId="5" xfId="0" applyFont="1" applyBorder="1" applyAlignment="1">
      <alignment vertical="center"/>
    </xf>
    <xf numFmtId="0" fontId="3" fillId="0" borderId="5" xfId="0" applyFont="1" applyBorder="1" applyAlignment="1">
      <alignment horizontal="center" vertical="center"/>
    </xf>
    <xf numFmtId="44" fontId="4" fillId="0" borderId="5" xfId="2" applyFont="1" applyFill="1" applyBorder="1"/>
    <xf numFmtId="44" fontId="4" fillId="5" borderId="44" xfId="2" applyFont="1" applyFill="1" applyBorder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44" fontId="4" fillId="0" borderId="1" xfId="1" applyFont="1" applyFill="1" applyBorder="1" applyAlignment="1">
      <alignment horizontal="right"/>
    </xf>
    <xf numFmtId="44" fontId="4" fillId="5" borderId="13" xfId="2" applyFont="1" applyFill="1" applyBorder="1"/>
    <xf numFmtId="0" fontId="3" fillId="0" borderId="10" xfId="0" applyFont="1" applyBorder="1" applyAlignment="1">
      <alignment vertical="center"/>
    </xf>
    <xf numFmtId="0" fontId="3" fillId="0" borderId="10" xfId="0" applyFont="1" applyBorder="1" applyAlignment="1">
      <alignment horizontal="center" vertical="center"/>
    </xf>
    <xf numFmtId="44" fontId="4" fillId="0" borderId="10" xfId="2" applyFont="1" applyFill="1" applyBorder="1"/>
    <xf numFmtId="44" fontId="4" fillId="5" borderId="11" xfId="2" applyFont="1" applyFill="1" applyBorder="1"/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/>
    <xf numFmtId="1" fontId="4" fillId="0" borderId="48" xfId="0" applyNumberFormat="1" applyFont="1" applyBorder="1" applyAlignment="1">
      <alignment horizontal="center"/>
    </xf>
    <xf numFmtId="44" fontId="4" fillId="0" borderId="48" xfId="2" applyFont="1" applyFill="1" applyBorder="1"/>
    <xf numFmtId="44" fontId="4" fillId="0" borderId="49" xfId="2" applyFont="1" applyFill="1" applyBorder="1"/>
    <xf numFmtId="44" fontId="4" fillId="0" borderId="8" xfId="2" applyFont="1" applyFill="1" applyBorder="1"/>
    <xf numFmtId="44" fontId="3" fillId="0" borderId="1" xfId="0" applyNumberFormat="1" applyFont="1" applyBorder="1" applyAlignment="1">
      <alignment horizontal="right" vertical="center"/>
    </xf>
    <xf numFmtId="44" fontId="4" fillId="0" borderId="51" xfId="2" applyFont="1" applyFill="1" applyBorder="1"/>
    <xf numFmtId="0" fontId="4" fillId="5" borderId="52" xfId="0" applyFont="1" applyFill="1" applyBorder="1" applyAlignment="1">
      <alignment horizontal="center" vertical="center"/>
    </xf>
    <xf numFmtId="0" fontId="3" fillId="0" borderId="48" xfId="0" applyFont="1" applyBorder="1" applyAlignment="1">
      <alignment vertical="center"/>
    </xf>
    <xf numFmtId="0" fontId="3" fillId="0" borderId="48" xfId="0" applyFont="1" applyBorder="1" applyAlignment="1">
      <alignment horizontal="center" vertical="center"/>
    </xf>
    <xf numFmtId="44" fontId="3" fillId="0" borderId="48" xfId="0" applyNumberFormat="1" applyFont="1" applyBorder="1" applyAlignment="1">
      <alignment horizontal="right" vertical="center"/>
    </xf>
    <xf numFmtId="0" fontId="3" fillId="0" borderId="14" xfId="0" applyFont="1" applyBorder="1" applyAlignment="1">
      <alignment vertical="center"/>
    </xf>
    <xf numFmtId="0" fontId="3" fillId="0" borderId="14" xfId="0" applyFont="1" applyBorder="1" applyAlignment="1">
      <alignment horizontal="center" vertical="center"/>
    </xf>
    <xf numFmtId="44" fontId="4" fillId="0" borderId="14" xfId="1" applyFont="1" applyFill="1" applyBorder="1" applyAlignment="1">
      <alignment horizontal="right"/>
    </xf>
    <xf numFmtId="44" fontId="4" fillId="0" borderId="54" xfId="2" applyFont="1" applyFill="1" applyBorder="1"/>
    <xf numFmtId="44" fontId="4" fillId="0" borderId="55" xfId="2" applyFont="1" applyFill="1" applyBorder="1"/>
    <xf numFmtId="44" fontId="3" fillId="0" borderId="5" xfId="0" applyNumberFormat="1" applyFont="1" applyBorder="1" applyAlignment="1">
      <alignment horizontal="right" vertical="center"/>
    </xf>
    <xf numFmtId="44" fontId="4" fillId="0" borderId="56" xfId="2" applyFont="1" applyFill="1" applyBorder="1"/>
    <xf numFmtId="0" fontId="4" fillId="0" borderId="37" xfId="0" applyFont="1" applyBorder="1" applyAlignment="1">
      <alignment horizontal="center" vertical="center"/>
    </xf>
    <xf numFmtId="44" fontId="4" fillId="0" borderId="38" xfId="2" applyFont="1" applyFill="1" applyBorder="1"/>
    <xf numFmtId="0" fontId="4" fillId="0" borderId="14" xfId="0" applyFont="1" applyBorder="1"/>
    <xf numFmtId="0" fontId="4" fillId="0" borderId="1" xfId="0" applyFont="1" applyBorder="1"/>
    <xf numFmtId="44" fontId="4" fillId="0" borderId="58" xfId="2" applyFont="1" applyFill="1" applyBorder="1"/>
    <xf numFmtId="44" fontId="4" fillId="0" borderId="13" xfId="2" applyFont="1" applyFill="1" applyBorder="1"/>
    <xf numFmtId="44" fontId="4" fillId="0" borderId="10" xfId="1" applyFont="1" applyFill="1" applyBorder="1" applyAlignment="1">
      <alignment horizontal="right"/>
    </xf>
    <xf numFmtId="44" fontId="4" fillId="0" borderId="11" xfId="2" applyFont="1" applyFill="1" applyBorder="1"/>
    <xf numFmtId="44" fontId="4" fillId="5" borderId="17" xfId="2" applyFont="1" applyFill="1" applyBorder="1"/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vertical="center"/>
    </xf>
    <xf numFmtId="0" fontId="4" fillId="5" borderId="0" xfId="0" applyFont="1" applyFill="1" applyAlignment="1">
      <alignment horizontal="center"/>
    </xf>
    <xf numFmtId="0" fontId="5" fillId="5" borderId="46" xfId="0" applyFont="1" applyFill="1" applyBorder="1" applyAlignment="1">
      <alignment horizontal="center"/>
    </xf>
    <xf numFmtId="44" fontId="4" fillId="0" borderId="0" xfId="2" applyFont="1" applyFill="1" applyBorder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59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5" fillId="5" borderId="52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60" xfId="0" applyFont="1" applyFill="1" applyBorder="1" applyAlignment="1">
      <alignment horizontal="center" wrapText="1"/>
    </xf>
    <xf numFmtId="0" fontId="5" fillId="5" borderId="60" xfId="0" applyFont="1" applyFill="1" applyBorder="1" applyAlignment="1">
      <alignment horizontal="center" vertical="center"/>
    </xf>
    <xf numFmtId="0" fontId="5" fillId="5" borderId="61" xfId="0" applyFont="1" applyFill="1" applyBorder="1" applyAlignment="1">
      <alignment horizontal="center" wrapText="1"/>
    </xf>
    <xf numFmtId="44" fontId="4" fillId="5" borderId="49" xfId="2" applyFont="1" applyFill="1" applyBorder="1"/>
    <xf numFmtId="44" fontId="3" fillId="0" borderId="10" xfId="0" applyNumberFormat="1" applyFont="1" applyBorder="1" applyAlignment="1">
      <alignment horizontal="right" vertical="center"/>
    </xf>
    <xf numFmtId="0" fontId="4" fillId="0" borderId="7" xfId="0" applyFont="1" applyBorder="1"/>
    <xf numFmtId="0" fontId="4" fillId="0" borderId="10" xfId="0" applyFont="1" applyBorder="1"/>
    <xf numFmtId="0" fontId="2" fillId="14" borderId="6" xfId="0" applyFont="1" applyFill="1" applyBorder="1" applyAlignment="1">
      <alignment horizontal="center" vertical="center" wrapText="1"/>
    </xf>
    <xf numFmtId="0" fontId="2" fillId="14" borderId="12" xfId="0" applyFont="1" applyFill="1" applyBorder="1" applyAlignment="1">
      <alignment horizontal="center" vertical="center" wrapText="1"/>
    </xf>
    <xf numFmtId="0" fontId="2" fillId="14" borderId="9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2" fillId="8" borderId="6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11" borderId="6" xfId="0" applyFont="1" applyFill="1" applyBorder="1" applyAlignment="1">
      <alignment horizontal="center" vertical="center" wrapText="1"/>
    </xf>
    <xf numFmtId="0" fontId="2" fillId="11" borderId="12" xfId="0" applyFont="1" applyFill="1" applyBorder="1" applyAlignment="1">
      <alignment horizontal="center" vertical="center" wrapText="1"/>
    </xf>
    <xf numFmtId="0" fontId="2" fillId="11" borderId="9" xfId="0" applyFont="1" applyFill="1" applyBorder="1" applyAlignment="1">
      <alignment horizontal="center" vertical="center" wrapText="1"/>
    </xf>
    <xf numFmtId="0" fontId="2" fillId="15" borderId="6" xfId="0" applyFont="1" applyFill="1" applyBorder="1" applyAlignment="1">
      <alignment horizontal="center" vertical="center" wrapText="1"/>
    </xf>
    <xf numFmtId="0" fontId="2" fillId="15" borderId="12" xfId="0" applyFont="1" applyFill="1" applyBorder="1" applyAlignment="1">
      <alignment horizontal="center" vertical="center" wrapText="1"/>
    </xf>
    <xf numFmtId="0" fontId="2" fillId="15" borderId="9" xfId="0" applyFont="1" applyFill="1" applyBorder="1" applyAlignment="1">
      <alignment horizontal="center" vertical="center" wrapText="1"/>
    </xf>
    <xf numFmtId="0" fontId="2" fillId="13" borderId="6" xfId="0" applyFont="1" applyFill="1" applyBorder="1" applyAlignment="1">
      <alignment horizontal="center" vertical="center" wrapText="1"/>
    </xf>
    <xf numFmtId="0" fontId="2" fillId="13" borderId="12" xfId="0" applyFont="1" applyFill="1" applyBorder="1" applyAlignment="1">
      <alignment horizontal="center" vertical="center" wrapText="1"/>
    </xf>
    <xf numFmtId="0" fontId="2" fillId="13" borderId="9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12" xfId="0" applyFont="1" applyFill="1" applyBorder="1" applyAlignment="1">
      <alignment horizontal="center" vertical="center"/>
    </xf>
    <xf numFmtId="0" fontId="2" fillId="8" borderId="9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4" fillId="5" borderId="40" xfId="0" applyFont="1" applyFill="1" applyBorder="1" applyAlignment="1">
      <alignment horizontal="center" vertical="center"/>
    </xf>
    <xf numFmtId="0" fontId="4" fillId="5" borderId="42" xfId="0" applyFont="1" applyFill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5" borderId="6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9" xfId="0" applyFont="1" applyFill="1" applyBorder="1" applyAlignment="1">
      <alignment horizontal="center" vertical="center"/>
    </xf>
    <xf numFmtId="0" fontId="4" fillId="5" borderId="41" xfId="0" applyFont="1" applyFill="1" applyBorder="1" applyAlignment="1">
      <alignment horizontal="center" vertical="center"/>
    </xf>
    <xf numFmtId="0" fontId="4" fillId="5" borderId="43" xfId="0" applyFont="1" applyFill="1" applyBorder="1" applyAlignment="1">
      <alignment horizontal="center" vertical="center"/>
    </xf>
    <xf numFmtId="0" fontId="4" fillId="5" borderId="50" xfId="0" applyFont="1" applyFill="1" applyBorder="1" applyAlignment="1">
      <alignment horizontal="center" vertical="center"/>
    </xf>
    <xf numFmtId="0" fontId="4" fillId="5" borderId="46" xfId="0" applyFont="1" applyFill="1" applyBorder="1" applyAlignment="1">
      <alignment horizontal="center" vertical="center"/>
    </xf>
    <xf numFmtId="0" fontId="4" fillId="0" borderId="50" xfId="0" applyFont="1" applyBorder="1" applyAlignment="1">
      <alignment horizontal="center" vertical="center"/>
    </xf>
    <xf numFmtId="0" fontId="4" fillId="0" borderId="53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9" fontId="4" fillId="0" borderId="37" xfId="0" applyNumberFormat="1" applyFont="1" applyBorder="1" applyAlignment="1">
      <alignment horizontal="center"/>
    </xf>
    <xf numFmtId="9" fontId="4" fillId="0" borderId="36" xfId="0" applyNumberFormat="1" applyFont="1" applyBorder="1" applyAlignment="1">
      <alignment horizontal="center"/>
    </xf>
    <xf numFmtId="9" fontId="4" fillId="0" borderId="38" xfId="0" applyNumberFormat="1" applyFont="1" applyBorder="1" applyAlignment="1">
      <alignment horizontal="center"/>
    </xf>
    <xf numFmtId="0" fontId="4" fillId="5" borderId="45" xfId="0" applyFont="1" applyFill="1" applyBorder="1" applyAlignment="1">
      <alignment horizontal="center" vertical="center"/>
    </xf>
    <xf numFmtId="0" fontId="7" fillId="14" borderId="24" xfId="0" applyFont="1" applyFill="1" applyBorder="1" applyAlignment="1">
      <alignment horizontal="center" vertical="center" wrapText="1"/>
    </xf>
    <xf numFmtId="0" fontId="7" fillId="14" borderId="29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7" fillId="4" borderId="23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/>
    </xf>
    <xf numFmtId="0" fontId="7" fillId="8" borderId="6" xfId="0" applyFont="1" applyFill="1" applyBorder="1" applyAlignment="1">
      <alignment horizontal="center" vertical="center" wrapText="1"/>
    </xf>
    <xf numFmtId="0" fontId="7" fillId="8" borderId="12" xfId="0" applyFont="1" applyFill="1" applyBorder="1" applyAlignment="1">
      <alignment horizontal="center" vertical="center" wrapText="1"/>
    </xf>
    <xf numFmtId="0" fontId="7" fillId="8" borderId="9" xfId="0" applyFont="1" applyFill="1" applyBorder="1" applyAlignment="1">
      <alignment horizontal="center" vertical="center" wrapText="1"/>
    </xf>
    <xf numFmtId="0" fontId="7" fillId="2" borderId="24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11" borderId="24" xfId="0" applyFont="1" applyFill="1" applyBorder="1" applyAlignment="1">
      <alignment horizontal="center" vertical="center" wrapText="1"/>
    </xf>
    <xf numFmtId="0" fontId="7" fillId="11" borderId="29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7" fillId="15" borderId="24" xfId="0" applyFont="1" applyFill="1" applyBorder="1" applyAlignment="1">
      <alignment horizontal="center" vertical="center" wrapText="1"/>
    </xf>
    <xf numFmtId="0" fontId="7" fillId="15" borderId="29" xfId="0" applyFont="1" applyFill="1" applyBorder="1" applyAlignment="1">
      <alignment horizontal="center" vertical="center" wrapText="1"/>
    </xf>
    <xf numFmtId="0" fontId="7" fillId="15" borderId="2" xfId="0" applyFont="1" applyFill="1" applyBorder="1" applyAlignment="1">
      <alignment horizontal="center" vertical="center" wrapText="1"/>
    </xf>
    <xf numFmtId="0" fontId="7" fillId="13" borderId="24" xfId="0" applyFont="1" applyFill="1" applyBorder="1" applyAlignment="1">
      <alignment horizontal="center" vertical="center" wrapText="1"/>
    </xf>
    <xf numFmtId="0" fontId="7" fillId="13" borderId="29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/>
    </xf>
    <xf numFmtId="0" fontId="7" fillId="2" borderId="19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21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  <xf numFmtId="0" fontId="7" fillId="8" borderId="24" xfId="0" applyFont="1" applyFill="1" applyBorder="1" applyAlignment="1">
      <alignment horizontal="center" vertical="center"/>
    </xf>
    <xf numFmtId="0" fontId="7" fillId="8" borderId="29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9" borderId="24" xfId="0" applyFont="1" applyFill="1" applyBorder="1" applyAlignment="1">
      <alignment horizontal="center" vertical="center" wrapText="1"/>
    </xf>
    <xf numFmtId="0" fontId="7" fillId="9" borderId="29" xfId="0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14" borderId="6" xfId="0" applyFont="1" applyFill="1" applyBorder="1" applyAlignment="1">
      <alignment horizontal="center" vertical="center" wrapText="1"/>
    </xf>
    <xf numFmtId="0" fontId="7" fillId="14" borderId="12" xfId="0" applyFont="1" applyFill="1" applyBorder="1" applyAlignment="1">
      <alignment horizontal="center" vertical="center" wrapText="1"/>
    </xf>
    <xf numFmtId="0" fontId="7" fillId="14" borderId="9" xfId="0" applyFont="1" applyFill="1" applyBorder="1" applyAlignment="1">
      <alignment horizontal="center" vertical="center" wrapText="1"/>
    </xf>
    <xf numFmtId="0" fontId="7" fillId="4" borderId="6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7" fillId="4" borderId="9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0" fontId="14" fillId="0" borderId="16" xfId="0" applyFont="1" applyBorder="1" applyAlignment="1">
      <alignment horizontal="center"/>
    </xf>
    <xf numFmtId="0" fontId="14" fillId="0" borderId="17" xfId="0" applyFont="1" applyBorder="1" applyAlignment="1">
      <alignment horizontal="center"/>
    </xf>
    <xf numFmtId="0" fontId="7" fillId="2" borderId="6" xfId="0" applyFont="1" applyFill="1" applyBorder="1" applyAlignment="1">
      <alignment horizontal="center" vertical="center" wrapText="1"/>
    </xf>
    <xf numFmtId="0" fontId="7" fillId="2" borderId="12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7" fillId="11" borderId="6" xfId="0" applyFont="1" applyFill="1" applyBorder="1" applyAlignment="1">
      <alignment horizontal="center" vertical="center" wrapText="1"/>
    </xf>
    <xf numFmtId="0" fontId="7" fillId="11" borderId="12" xfId="0" applyFont="1" applyFill="1" applyBorder="1" applyAlignment="1">
      <alignment horizontal="center" vertical="center" wrapText="1"/>
    </xf>
    <xf numFmtId="0" fontId="7" fillId="11" borderId="9" xfId="0" applyFont="1" applyFill="1" applyBorder="1" applyAlignment="1">
      <alignment horizontal="center" vertical="center" wrapText="1"/>
    </xf>
    <xf numFmtId="0" fontId="7" fillId="15" borderId="6" xfId="0" applyFont="1" applyFill="1" applyBorder="1" applyAlignment="1">
      <alignment horizontal="center" vertical="center" wrapText="1"/>
    </xf>
    <xf numFmtId="0" fontId="7" fillId="15" borderId="12" xfId="0" applyFont="1" applyFill="1" applyBorder="1" applyAlignment="1">
      <alignment horizontal="center" vertical="center" wrapText="1"/>
    </xf>
    <xf numFmtId="0" fontId="7" fillId="15" borderId="9" xfId="0" applyFont="1" applyFill="1" applyBorder="1" applyAlignment="1">
      <alignment horizontal="center" vertical="center" wrapText="1"/>
    </xf>
    <xf numFmtId="0" fontId="7" fillId="13" borderId="6" xfId="0" applyFont="1" applyFill="1" applyBorder="1" applyAlignment="1">
      <alignment horizontal="center" vertical="center" wrapText="1"/>
    </xf>
    <xf numFmtId="0" fontId="7" fillId="13" borderId="12" xfId="0" applyFont="1" applyFill="1" applyBorder="1" applyAlignment="1">
      <alignment horizontal="center" vertical="center" wrapText="1"/>
    </xf>
    <xf numFmtId="0" fontId="7" fillId="13" borderId="9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7" fillId="6" borderId="9" xfId="0" applyFont="1" applyFill="1" applyBorder="1" applyAlignment="1">
      <alignment horizontal="center" vertical="center"/>
    </xf>
    <xf numFmtId="0" fontId="7" fillId="8" borderId="6" xfId="0" applyFont="1" applyFill="1" applyBorder="1" applyAlignment="1">
      <alignment horizontal="center" vertical="center"/>
    </xf>
    <xf numFmtId="0" fontId="7" fillId="8" borderId="12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0" fontId="7" fillId="9" borderId="6" xfId="0" applyFont="1" applyFill="1" applyBorder="1" applyAlignment="1">
      <alignment horizontal="center" vertical="center" wrapText="1"/>
    </xf>
    <xf numFmtId="0" fontId="7" fillId="9" borderId="12" xfId="0" applyFont="1" applyFill="1" applyBorder="1" applyAlignment="1">
      <alignment horizontal="center" vertical="center" wrapText="1"/>
    </xf>
    <xf numFmtId="0" fontId="7" fillId="9" borderId="9" xfId="0" applyFont="1" applyFill="1" applyBorder="1" applyAlignment="1">
      <alignment horizontal="center" vertical="center" wrapText="1"/>
    </xf>
    <xf numFmtId="0" fontId="4" fillId="5" borderId="62" xfId="0" applyFont="1" applyFill="1" applyBorder="1" applyAlignment="1">
      <alignment horizontal="center" vertical="center"/>
    </xf>
    <xf numFmtId="0" fontId="4" fillId="5" borderId="64" xfId="0" applyFont="1" applyFill="1" applyBorder="1" applyAlignment="1">
      <alignment horizontal="center" vertical="center"/>
    </xf>
    <xf numFmtId="0" fontId="4" fillId="5" borderId="52" xfId="0" applyFont="1" applyFill="1" applyBorder="1" applyAlignment="1">
      <alignment horizontal="center" vertical="center"/>
    </xf>
    <xf numFmtId="0" fontId="4" fillId="5" borderId="34" xfId="0" applyFont="1" applyFill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5" borderId="63" xfId="0" applyFont="1" applyFill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</cellXfs>
  <cellStyles count="3">
    <cellStyle name="Moneda" xfId="1" builtinId="4"/>
    <cellStyle name="Moneda 2" xfId="2" xr:uid="{A36BBC43-75F2-432A-A670-D0DD17F8A50B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538844</xdr:colOff>
      <xdr:row>0</xdr:row>
      <xdr:rowOff>27215</xdr:rowOff>
    </xdr:from>
    <xdr:ext cx="947056" cy="528315"/>
    <xdr:pic>
      <xdr:nvPicPr>
        <xdr:cNvPr id="2" name="Imagen 1">
          <a:extLst>
            <a:ext uri="{FF2B5EF4-FFF2-40B4-BE49-F238E27FC236}">
              <a16:creationId xmlns:a16="http://schemas.microsoft.com/office/drawing/2014/main" id="{0B59FCFE-7918-494F-A813-5455A9B4649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15" r="2145" b="2080"/>
        <a:stretch/>
      </xdr:blipFill>
      <xdr:spPr bwMode="auto">
        <a:xfrm>
          <a:off x="4582887" y="27215"/>
          <a:ext cx="947056" cy="52831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538844</xdr:colOff>
      <xdr:row>0</xdr:row>
      <xdr:rowOff>27215</xdr:rowOff>
    </xdr:from>
    <xdr:to>
      <xdr:col>5</xdr:col>
      <xdr:colOff>702128</xdr:colOff>
      <xdr:row>1</xdr:row>
      <xdr:rowOff>370473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826436E-0915-460F-8503-80A2018624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15" r="2145" b="2080"/>
        <a:stretch/>
      </xdr:blipFill>
      <xdr:spPr bwMode="auto">
        <a:xfrm>
          <a:off x="5007430" y="27215"/>
          <a:ext cx="947056" cy="52287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538844</xdr:colOff>
      <xdr:row>0</xdr:row>
      <xdr:rowOff>27215</xdr:rowOff>
    </xdr:from>
    <xdr:to>
      <xdr:col>6</xdr:col>
      <xdr:colOff>702129</xdr:colOff>
      <xdr:row>2</xdr:row>
      <xdr:rowOff>179973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F90C3B-300D-4B82-98ED-63A96B92A09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15" r="2145" b="2080"/>
        <a:stretch/>
      </xdr:blipFill>
      <xdr:spPr bwMode="auto">
        <a:xfrm>
          <a:off x="5007430" y="27215"/>
          <a:ext cx="947056" cy="52287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ac001\Desktop\Documentos%20Vitenza\Propuestas%20de%20manejo%20de%20cultivo\Provefrut\PROPUESTA%20PROVEFRUT%20HCDA.%20SANTO%20TOM&#193;S.xlsx" TargetMode="External"/><Relationship Id="rId1" Type="http://schemas.openxmlformats.org/officeDocument/2006/relationships/externalLinkPath" Target="/Users/Mac001/Desktop/Documentos%20Vitenza/Propuestas%20de%20manejo%20de%20cultivo/Provefrut/PROPUESTA%20PROVEFRUT%20HCDA.%20SANTO%20TOM&#193;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vefrut Santo Thomas"/>
      <sheetName val="Manejo Vitenza"/>
      <sheetName val="PROPUESTA"/>
      <sheetName val="PLANTEAMIENTO DE FERTILIZACIÓN"/>
      <sheetName val="RAS CE Pot. hídrico"/>
    </sheetNames>
    <sheetDataSet>
      <sheetData sheetId="0" refreshError="1"/>
      <sheetData sheetId="1">
        <row r="21">
          <cell r="E21">
            <v>9.0350000000000001</v>
          </cell>
        </row>
        <row r="24">
          <cell r="E24">
            <v>18.1675</v>
          </cell>
        </row>
        <row r="25">
          <cell r="E25">
            <v>32.123000000000005</v>
          </cell>
        </row>
        <row r="26">
          <cell r="E26">
            <v>16.445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94BB9-711B-4CAC-9B36-EC87E58362E0}">
  <sheetPr>
    <pageSetUpPr fitToPage="1"/>
  </sheetPr>
  <dimension ref="A1:I83"/>
  <sheetViews>
    <sheetView tabSelected="1" view="pageBreakPreview" zoomScale="60" zoomScaleNormal="100" workbookViewId="0">
      <selection activeCell="J7" sqref="J7"/>
    </sheetView>
  </sheetViews>
  <sheetFormatPr baseColWidth="10" defaultColWidth="11.109375" defaultRowHeight="13.8" x14ac:dyDescent="0.25"/>
  <cols>
    <col min="1" max="1" width="11.88671875" style="52" bestFit="1" customWidth="1"/>
    <col min="2" max="3" width="11.109375" style="52"/>
    <col min="4" max="4" width="40.77734375" style="52" customWidth="1"/>
    <col min="5" max="5" width="11.109375" style="52" bestFit="1" customWidth="1"/>
    <col min="6" max="6" width="11.109375" style="52" customWidth="1"/>
    <col min="7" max="7" width="11.109375" style="52"/>
    <col min="8" max="9" width="11.109375" style="52" bestFit="1" customWidth="1"/>
    <col min="10" max="16384" width="11.109375" style="52"/>
  </cols>
  <sheetData>
    <row r="1" spans="1:9" x14ac:dyDescent="0.25">
      <c r="A1" s="327" t="s">
        <v>0</v>
      </c>
      <c r="B1" s="327"/>
      <c r="C1" s="327"/>
      <c r="D1" s="327"/>
      <c r="E1" s="327"/>
      <c r="F1" s="327"/>
      <c r="G1" s="327"/>
      <c r="H1" s="327"/>
      <c r="I1" s="327"/>
    </row>
    <row r="2" spans="1:9" x14ac:dyDescent="0.25">
      <c r="A2" s="327"/>
      <c r="B2" s="327"/>
      <c r="C2" s="327"/>
      <c r="D2" s="327"/>
      <c r="E2" s="327"/>
      <c r="F2" s="327"/>
      <c r="G2" s="327"/>
      <c r="H2" s="327"/>
      <c r="I2" s="327"/>
    </row>
    <row r="3" spans="1:9" ht="42" thickBot="1" x14ac:dyDescent="0.3">
      <c r="A3" s="1">
        <v>45979</v>
      </c>
      <c r="B3" s="2" t="s">
        <v>1</v>
      </c>
      <c r="C3" s="3" t="s">
        <v>2</v>
      </c>
      <c r="D3" s="4" t="s">
        <v>3</v>
      </c>
      <c r="E3" s="5" t="s">
        <v>4</v>
      </c>
      <c r="F3" s="5" t="s">
        <v>139</v>
      </c>
      <c r="G3" s="5" t="s">
        <v>5</v>
      </c>
      <c r="H3" s="6" t="s">
        <v>6</v>
      </c>
      <c r="I3" s="4" t="s">
        <v>140</v>
      </c>
    </row>
    <row r="4" spans="1:9" ht="14.4" thickBot="1" x14ac:dyDescent="0.3">
      <c r="A4" s="7" t="s">
        <v>8</v>
      </c>
      <c r="B4" s="8" t="s">
        <v>9</v>
      </c>
      <c r="C4" s="8" t="s">
        <v>10</v>
      </c>
      <c r="D4" s="9" t="s">
        <v>11</v>
      </c>
      <c r="E4" s="10">
        <v>58</v>
      </c>
      <c r="F4" s="10"/>
      <c r="G4" s="10" t="s">
        <v>12</v>
      </c>
      <c r="H4" s="11">
        <v>1.4E-2</v>
      </c>
      <c r="I4" s="220">
        <v>812</v>
      </c>
    </row>
    <row r="5" spans="1:9" ht="14.4" thickBot="1" x14ac:dyDescent="0.3">
      <c r="A5" s="328" t="s">
        <v>13</v>
      </c>
      <c r="B5" s="12" t="s">
        <v>9</v>
      </c>
      <c r="C5" s="12"/>
      <c r="D5" s="13" t="s">
        <v>14</v>
      </c>
      <c r="E5" s="12">
        <v>1</v>
      </c>
      <c r="F5" s="12">
        <f>E5/2</f>
        <v>0.5</v>
      </c>
      <c r="G5" s="12" t="s">
        <v>15</v>
      </c>
      <c r="H5" s="14">
        <v>11.5</v>
      </c>
      <c r="I5" s="221">
        <f>H5*E5</f>
        <v>11.5</v>
      </c>
    </row>
    <row r="6" spans="1:9" ht="14.4" thickBot="1" x14ac:dyDescent="0.3">
      <c r="A6" s="329"/>
      <c r="B6" s="15" t="s">
        <v>9</v>
      </c>
      <c r="C6" s="15"/>
      <c r="D6" s="16" t="s">
        <v>16</v>
      </c>
      <c r="E6" s="15">
        <v>0.2</v>
      </c>
      <c r="F6" s="12">
        <f t="shared" ref="F6:F69" si="0">E6/2</f>
        <v>0.1</v>
      </c>
      <c r="G6" s="15" t="s">
        <v>17</v>
      </c>
      <c r="H6" s="17">
        <v>15</v>
      </c>
      <c r="I6" s="222">
        <f>H6*E6</f>
        <v>3</v>
      </c>
    </row>
    <row r="7" spans="1:9" ht="14.4" thickBot="1" x14ac:dyDescent="0.3">
      <c r="A7" s="330" t="s">
        <v>18</v>
      </c>
      <c r="B7" s="18" t="s">
        <v>19</v>
      </c>
      <c r="C7" s="18" t="s">
        <v>20</v>
      </c>
      <c r="D7" s="19" t="s">
        <v>21</v>
      </c>
      <c r="E7" s="20">
        <v>1.5</v>
      </c>
      <c r="F7" s="12">
        <f t="shared" si="0"/>
        <v>0.75</v>
      </c>
      <c r="G7" s="20" t="s">
        <v>22</v>
      </c>
      <c r="H7" s="21">
        <v>3.4914000000000001E-2</v>
      </c>
      <c r="I7" s="223">
        <v>52.37</v>
      </c>
    </row>
    <row r="8" spans="1:9" ht="14.4" thickBot="1" x14ac:dyDescent="0.3">
      <c r="A8" s="331"/>
      <c r="B8" s="22" t="s">
        <v>23</v>
      </c>
      <c r="C8" s="22"/>
      <c r="D8" s="23" t="s">
        <v>16</v>
      </c>
      <c r="E8" s="22">
        <v>0.2</v>
      </c>
      <c r="F8" s="12">
        <f t="shared" si="0"/>
        <v>0.1</v>
      </c>
      <c r="G8" s="22" t="s">
        <v>24</v>
      </c>
      <c r="H8" s="24">
        <v>15</v>
      </c>
      <c r="I8" s="224">
        <f>H8*E8</f>
        <v>3</v>
      </c>
    </row>
    <row r="9" spans="1:9" ht="14.4" thickBot="1" x14ac:dyDescent="0.3">
      <c r="A9" s="331"/>
      <c r="B9" s="25" t="s">
        <v>19</v>
      </c>
      <c r="C9" s="25" t="s">
        <v>25</v>
      </c>
      <c r="D9" s="26" t="s">
        <v>26</v>
      </c>
      <c r="E9" s="27">
        <v>600</v>
      </c>
      <c r="F9" s="12">
        <f t="shared" si="0"/>
        <v>300</v>
      </c>
      <c r="G9" s="27" t="s">
        <v>22</v>
      </c>
      <c r="H9" s="28">
        <v>7.0749999999999997E-3</v>
      </c>
      <c r="I9" s="225">
        <v>4.24</v>
      </c>
    </row>
    <row r="10" spans="1:9" ht="14.4" thickBot="1" x14ac:dyDescent="0.3">
      <c r="A10" s="331"/>
      <c r="B10" s="22" t="s">
        <v>19</v>
      </c>
      <c r="C10" s="22" t="s">
        <v>27</v>
      </c>
      <c r="D10" s="23" t="s">
        <v>28</v>
      </c>
      <c r="E10" s="22">
        <v>0.5</v>
      </c>
      <c r="F10" s="12">
        <f t="shared" si="0"/>
        <v>0.25</v>
      </c>
      <c r="G10" s="22" t="s">
        <v>15</v>
      </c>
      <c r="H10" s="29">
        <v>32.5</v>
      </c>
      <c r="I10" s="224">
        <f>H10*E10</f>
        <v>16.25</v>
      </c>
    </row>
    <row r="11" spans="1:9" ht="14.4" thickBot="1" x14ac:dyDescent="0.3">
      <c r="A11" s="331"/>
      <c r="B11" s="22"/>
      <c r="C11" s="22"/>
      <c r="D11" s="23" t="s">
        <v>29</v>
      </c>
      <c r="E11" s="22">
        <v>1</v>
      </c>
      <c r="F11" s="12">
        <f t="shared" si="0"/>
        <v>0.5</v>
      </c>
      <c r="G11" s="22" t="s">
        <v>30</v>
      </c>
      <c r="H11" s="29">
        <v>18.97</v>
      </c>
      <c r="I11" s="224">
        <f>H11*E11</f>
        <v>18.97</v>
      </c>
    </row>
    <row r="12" spans="1:9" ht="14.4" thickBot="1" x14ac:dyDescent="0.3">
      <c r="A12" s="331"/>
      <c r="B12" s="25" t="s">
        <v>19</v>
      </c>
      <c r="C12" s="25" t="s">
        <v>31</v>
      </c>
      <c r="D12" s="26" t="s">
        <v>32</v>
      </c>
      <c r="E12" s="27">
        <v>100</v>
      </c>
      <c r="F12" s="12">
        <f t="shared" si="0"/>
        <v>50</v>
      </c>
      <c r="G12" s="27" t="s">
        <v>24</v>
      </c>
      <c r="H12" s="28">
        <v>1.0089999999999999E-3</v>
      </c>
      <c r="I12" s="225">
        <v>0.1</v>
      </c>
    </row>
    <row r="13" spans="1:9" ht="14.4" thickBot="1" x14ac:dyDescent="0.3">
      <c r="A13" s="332"/>
      <c r="B13" s="30" t="s">
        <v>19</v>
      </c>
      <c r="C13" s="30" t="s">
        <v>33</v>
      </c>
      <c r="D13" s="31" t="s">
        <v>34</v>
      </c>
      <c r="E13" s="32">
        <v>1</v>
      </c>
      <c r="F13" s="12">
        <f t="shared" si="0"/>
        <v>0.5</v>
      </c>
      <c r="G13" s="32" t="s">
        <v>24</v>
      </c>
      <c r="H13" s="33">
        <v>8.0960000000000008E-3</v>
      </c>
      <c r="I13" s="226">
        <v>8.1</v>
      </c>
    </row>
    <row r="14" spans="1:9" ht="14.4" thickBot="1" x14ac:dyDescent="0.3">
      <c r="A14" s="333" t="s">
        <v>35</v>
      </c>
      <c r="B14" s="166" t="s">
        <v>36</v>
      </c>
      <c r="C14" s="167" t="s">
        <v>115</v>
      </c>
      <c r="D14" s="168" t="s">
        <v>116</v>
      </c>
      <c r="E14" s="169">
        <v>50</v>
      </c>
      <c r="F14" s="12">
        <f t="shared" si="0"/>
        <v>25</v>
      </c>
      <c r="G14" s="170" t="s">
        <v>39</v>
      </c>
      <c r="H14" s="54">
        <v>0.397198</v>
      </c>
      <c r="I14" s="227">
        <v>19.86</v>
      </c>
    </row>
    <row r="15" spans="1:9" ht="14.4" thickBot="1" x14ac:dyDescent="0.3">
      <c r="A15" s="334"/>
      <c r="B15" s="166" t="s">
        <v>36</v>
      </c>
      <c r="C15" s="167" t="s">
        <v>117</v>
      </c>
      <c r="D15" s="168" t="s">
        <v>118</v>
      </c>
      <c r="E15" s="169">
        <v>6</v>
      </c>
      <c r="F15" s="12">
        <f t="shared" si="0"/>
        <v>3</v>
      </c>
      <c r="G15" s="170" t="s">
        <v>39</v>
      </c>
      <c r="H15" s="54">
        <v>0.44972899999999999</v>
      </c>
      <c r="I15" s="227">
        <v>2.7</v>
      </c>
    </row>
    <row r="16" spans="1:9" ht="14.4" thickBot="1" x14ac:dyDescent="0.3">
      <c r="A16" s="334"/>
      <c r="B16" s="166" t="s">
        <v>36</v>
      </c>
      <c r="C16" s="167" t="s">
        <v>37</v>
      </c>
      <c r="D16" s="168" t="s">
        <v>63</v>
      </c>
      <c r="E16" s="169">
        <v>110</v>
      </c>
      <c r="F16" s="12">
        <f t="shared" si="0"/>
        <v>55</v>
      </c>
      <c r="G16" s="170" t="s">
        <v>39</v>
      </c>
      <c r="H16" s="54">
        <v>0.96620300000000003</v>
      </c>
      <c r="I16" s="227">
        <v>106.28</v>
      </c>
    </row>
    <row r="17" spans="1:9" ht="14.4" thickBot="1" x14ac:dyDescent="0.3">
      <c r="A17" s="335"/>
      <c r="B17" s="166" t="s">
        <v>36</v>
      </c>
      <c r="C17" s="171" t="s">
        <v>42</v>
      </c>
      <c r="D17" s="168" t="s">
        <v>43</v>
      </c>
      <c r="E17" s="169">
        <v>40</v>
      </c>
      <c r="F17" s="12">
        <f t="shared" si="0"/>
        <v>20</v>
      </c>
      <c r="G17" s="170" t="s">
        <v>39</v>
      </c>
      <c r="H17" s="54">
        <v>0.987286</v>
      </c>
      <c r="I17" s="227">
        <v>39.49</v>
      </c>
    </row>
    <row r="18" spans="1:9" ht="14.4" thickBot="1" x14ac:dyDescent="0.3">
      <c r="A18" s="318" t="s">
        <v>44</v>
      </c>
      <c r="B18" s="34" t="s">
        <v>45</v>
      </c>
      <c r="C18" s="34" t="s">
        <v>46</v>
      </c>
      <c r="D18" s="19" t="s">
        <v>47</v>
      </c>
      <c r="E18" s="20">
        <v>400</v>
      </c>
      <c r="F18" s="12">
        <f t="shared" si="0"/>
        <v>200</v>
      </c>
      <c r="G18" s="20" t="s">
        <v>22</v>
      </c>
      <c r="H18" s="21">
        <v>2.9127E-2</v>
      </c>
      <c r="I18" s="223">
        <v>11.65</v>
      </c>
    </row>
    <row r="19" spans="1:9" ht="14.4" thickBot="1" x14ac:dyDescent="0.3">
      <c r="A19" s="319"/>
      <c r="B19" s="35" t="s">
        <v>45</v>
      </c>
      <c r="C19" s="35" t="s">
        <v>48</v>
      </c>
      <c r="D19" s="26" t="s">
        <v>49</v>
      </c>
      <c r="E19" s="27">
        <v>5</v>
      </c>
      <c r="F19" s="12">
        <f t="shared" si="0"/>
        <v>2.5</v>
      </c>
      <c r="G19" s="27" t="s">
        <v>15</v>
      </c>
      <c r="H19" s="217">
        <v>5.96</v>
      </c>
      <c r="I19" s="225">
        <v>29.81</v>
      </c>
    </row>
    <row r="20" spans="1:9" ht="14.4" thickBot="1" x14ac:dyDescent="0.3">
      <c r="A20" s="319"/>
      <c r="B20" s="36" t="s">
        <v>45</v>
      </c>
      <c r="C20" s="36"/>
      <c r="D20" s="23" t="s">
        <v>14</v>
      </c>
      <c r="E20" s="22">
        <v>2</v>
      </c>
      <c r="F20" s="12">
        <f t="shared" si="0"/>
        <v>1</v>
      </c>
      <c r="G20" s="22" t="s">
        <v>15</v>
      </c>
      <c r="H20" s="14">
        <v>11.5</v>
      </c>
      <c r="I20" s="224">
        <f>H20*E20</f>
        <v>23</v>
      </c>
    </row>
    <row r="21" spans="1:9" ht="14.4" thickBot="1" x14ac:dyDescent="0.3">
      <c r="A21" s="319"/>
      <c r="B21" s="36" t="s">
        <v>45</v>
      </c>
      <c r="C21" s="36"/>
      <c r="D21" s="23" t="s">
        <v>16</v>
      </c>
      <c r="E21" s="22">
        <v>0.5</v>
      </c>
      <c r="F21" s="12">
        <f t="shared" si="0"/>
        <v>0.25</v>
      </c>
      <c r="G21" s="22" t="s">
        <v>17</v>
      </c>
      <c r="H21" s="24">
        <v>15</v>
      </c>
      <c r="I21" s="224">
        <f>H21*E21</f>
        <v>7.5</v>
      </c>
    </row>
    <row r="22" spans="1:9" ht="14.4" thickBot="1" x14ac:dyDescent="0.3">
      <c r="A22" s="319"/>
      <c r="B22" s="35" t="s">
        <v>45</v>
      </c>
      <c r="C22" s="37"/>
      <c r="D22" s="38" t="s">
        <v>50</v>
      </c>
      <c r="E22" s="39"/>
      <c r="F22" s="12">
        <f t="shared" si="0"/>
        <v>0</v>
      </c>
      <c r="G22" s="39" t="s">
        <v>17</v>
      </c>
      <c r="H22" s="40"/>
      <c r="I22" s="228">
        <f>H22*E22</f>
        <v>0</v>
      </c>
    </row>
    <row r="23" spans="1:9" ht="14.4" thickBot="1" x14ac:dyDescent="0.3">
      <c r="A23" s="320"/>
      <c r="B23" s="41" t="s">
        <v>45</v>
      </c>
      <c r="C23" s="42" t="s">
        <v>33</v>
      </c>
      <c r="D23" s="31" t="s">
        <v>34</v>
      </c>
      <c r="E23" s="32">
        <v>1</v>
      </c>
      <c r="F23" s="12">
        <f t="shared" si="0"/>
        <v>0.5</v>
      </c>
      <c r="G23" s="32" t="s">
        <v>24</v>
      </c>
      <c r="H23" s="33">
        <v>8.0960000000000008E-3</v>
      </c>
      <c r="I23" s="226">
        <v>8.1</v>
      </c>
    </row>
    <row r="24" spans="1:9" ht="14.4" thickBot="1" x14ac:dyDescent="0.3">
      <c r="A24" s="324" t="s">
        <v>51</v>
      </c>
      <c r="B24" s="34" t="s">
        <v>52</v>
      </c>
      <c r="C24" s="18" t="s">
        <v>25</v>
      </c>
      <c r="D24" s="19" t="s">
        <v>26</v>
      </c>
      <c r="E24" s="20">
        <v>600</v>
      </c>
      <c r="F24" s="12">
        <f t="shared" si="0"/>
        <v>300</v>
      </c>
      <c r="G24" s="20" t="s">
        <v>22</v>
      </c>
      <c r="H24" s="21">
        <v>7.0749999999999997E-3</v>
      </c>
      <c r="I24" s="223">
        <v>4.24</v>
      </c>
    </row>
    <row r="25" spans="1:9" ht="14.4" thickBot="1" x14ac:dyDescent="0.3">
      <c r="A25" s="325"/>
      <c r="B25" s="36" t="s">
        <v>52</v>
      </c>
      <c r="C25" s="36"/>
      <c r="D25" s="23" t="s">
        <v>28</v>
      </c>
      <c r="E25" s="22">
        <v>0.5</v>
      </c>
      <c r="F25" s="12">
        <f t="shared" si="0"/>
        <v>0.25</v>
      </c>
      <c r="G25" s="22" t="s">
        <v>15</v>
      </c>
      <c r="H25" s="29">
        <v>32.5</v>
      </c>
      <c r="I25" s="224">
        <f>H25*E25</f>
        <v>16.25</v>
      </c>
    </row>
    <row r="26" spans="1:9" ht="14.4" thickBot="1" x14ac:dyDescent="0.3">
      <c r="A26" s="325"/>
      <c r="B26" s="36" t="s">
        <v>52</v>
      </c>
      <c r="C26" s="36"/>
      <c r="D26" s="23" t="s">
        <v>16</v>
      </c>
      <c r="E26" s="22">
        <v>0.2</v>
      </c>
      <c r="F26" s="12">
        <f t="shared" si="0"/>
        <v>0.1</v>
      </c>
      <c r="G26" s="22" t="s">
        <v>17</v>
      </c>
      <c r="H26" s="24">
        <v>15</v>
      </c>
      <c r="I26" s="224">
        <f>H26*E26</f>
        <v>3</v>
      </c>
    </row>
    <row r="27" spans="1:9" ht="14.4" thickBot="1" x14ac:dyDescent="0.3">
      <c r="A27" s="325"/>
      <c r="B27" s="36" t="s">
        <v>52</v>
      </c>
      <c r="C27" s="36"/>
      <c r="D27" s="23" t="s">
        <v>53</v>
      </c>
      <c r="E27" s="22">
        <v>1</v>
      </c>
      <c r="F27" s="12">
        <f t="shared" si="0"/>
        <v>0.5</v>
      </c>
      <c r="G27" s="22" t="s">
        <v>15</v>
      </c>
      <c r="H27" s="29">
        <v>33.25</v>
      </c>
      <c r="I27" s="224">
        <f>H27*E27</f>
        <v>33.25</v>
      </c>
    </row>
    <row r="28" spans="1:9" ht="14.4" thickBot="1" x14ac:dyDescent="0.3">
      <c r="A28" s="325"/>
      <c r="B28" s="36"/>
      <c r="C28" s="36"/>
      <c r="D28" s="23" t="s">
        <v>29</v>
      </c>
      <c r="E28" s="22">
        <v>1</v>
      </c>
      <c r="F28" s="12">
        <f t="shared" si="0"/>
        <v>0.5</v>
      </c>
      <c r="G28" s="22" t="s">
        <v>15</v>
      </c>
      <c r="H28" s="29">
        <v>18.97</v>
      </c>
      <c r="I28" s="224">
        <f>H28*E28</f>
        <v>18.97</v>
      </c>
    </row>
    <row r="29" spans="1:9" ht="14.4" thickBot="1" x14ac:dyDescent="0.3">
      <c r="A29" s="325"/>
      <c r="B29" s="43" t="s">
        <v>52</v>
      </c>
      <c r="C29" s="43" t="s">
        <v>54</v>
      </c>
      <c r="D29" s="26" t="s">
        <v>55</v>
      </c>
      <c r="E29" s="27">
        <v>500</v>
      </c>
      <c r="F29" s="12">
        <f t="shared" si="0"/>
        <v>250</v>
      </c>
      <c r="G29" s="27" t="s">
        <v>22</v>
      </c>
      <c r="H29" s="28">
        <v>1.8568999999999999E-2</v>
      </c>
      <c r="I29" s="225">
        <v>9.2799999999999994</v>
      </c>
    </row>
    <row r="30" spans="1:9" ht="14.4" thickBot="1" x14ac:dyDescent="0.3">
      <c r="A30" s="325"/>
      <c r="B30" s="35" t="s">
        <v>52</v>
      </c>
      <c r="C30" s="35" t="s">
        <v>33</v>
      </c>
      <c r="D30" s="26" t="s">
        <v>34</v>
      </c>
      <c r="E30" s="27">
        <v>1</v>
      </c>
      <c r="F30" s="12">
        <f t="shared" si="0"/>
        <v>0.5</v>
      </c>
      <c r="G30" s="27" t="s">
        <v>24</v>
      </c>
      <c r="H30" s="28">
        <v>8.0960000000000008E-3</v>
      </c>
      <c r="I30" s="225">
        <v>8.1</v>
      </c>
    </row>
    <row r="31" spans="1:9" ht="14.4" thickBot="1" x14ac:dyDescent="0.3">
      <c r="A31" s="326"/>
      <c r="B31" s="41" t="s">
        <v>52</v>
      </c>
      <c r="C31" s="41" t="s">
        <v>56</v>
      </c>
      <c r="D31" s="31" t="s">
        <v>57</v>
      </c>
      <c r="E31" s="32">
        <v>180</v>
      </c>
      <c r="F31" s="12">
        <f t="shared" si="0"/>
        <v>90</v>
      </c>
      <c r="G31" s="32" t="s">
        <v>22</v>
      </c>
      <c r="H31" s="33">
        <v>2.2055999999999999E-2</v>
      </c>
      <c r="I31" s="226">
        <v>3.97</v>
      </c>
    </row>
    <row r="32" spans="1:9" ht="14.4" thickBot="1" x14ac:dyDescent="0.3">
      <c r="A32" s="313" t="s">
        <v>58</v>
      </c>
      <c r="B32" s="172" t="s">
        <v>59</v>
      </c>
      <c r="C32" s="171" t="s">
        <v>60</v>
      </c>
      <c r="D32" s="168" t="s">
        <v>61</v>
      </c>
      <c r="E32" s="169">
        <v>4</v>
      </c>
      <c r="F32" s="12">
        <f t="shared" si="0"/>
        <v>2</v>
      </c>
      <c r="G32" s="170" t="s">
        <v>39</v>
      </c>
      <c r="H32" s="218">
        <v>1.27</v>
      </c>
      <c r="I32" s="227">
        <v>5.09</v>
      </c>
    </row>
    <row r="33" spans="1:9" ht="14.4" thickBot="1" x14ac:dyDescent="0.3">
      <c r="A33" s="314"/>
      <c r="B33" s="173" t="s">
        <v>59</v>
      </c>
      <c r="C33" s="171" t="s">
        <v>117</v>
      </c>
      <c r="D33" s="168" t="s">
        <v>118</v>
      </c>
      <c r="E33" s="169">
        <v>6</v>
      </c>
      <c r="F33" s="12">
        <f t="shared" si="0"/>
        <v>3</v>
      </c>
      <c r="G33" s="170" t="s">
        <v>39</v>
      </c>
      <c r="H33" s="54">
        <v>0.44972899999999999</v>
      </c>
      <c r="I33" s="227">
        <v>2.7</v>
      </c>
    </row>
    <row r="34" spans="1:9" ht="14.4" thickBot="1" x14ac:dyDescent="0.3">
      <c r="A34" s="314"/>
      <c r="B34" s="173" t="s">
        <v>59</v>
      </c>
      <c r="C34" s="171" t="s">
        <v>62</v>
      </c>
      <c r="D34" s="168" t="s">
        <v>38</v>
      </c>
      <c r="E34" s="169">
        <v>100</v>
      </c>
      <c r="F34" s="12">
        <f t="shared" si="0"/>
        <v>50</v>
      </c>
      <c r="G34" s="170" t="s">
        <v>39</v>
      </c>
      <c r="H34" s="54">
        <v>0.42920399999999997</v>
      </c>
      <c r="I34" s="227">
        <v>42.92</v>
      </c>
    </row>
    <row r="35" spans="1:9" ht="14.4" thickBot="1" x14ac:dyDescent="0.3">
      <c r="A35" s="314"/>
      <c r="B35" s="173" t="s">
        <v>59</v>
      </c>
      <c r="C35" s="171" t="s">
        <v>37</v>
      </c>
      <c r="D35" s="168" t="s">
        <v>63</v>
      </c>
      <c r="E35" s="169">
        <v>40</v>
      </c>
      <c r="F35" s="12">
        <f t="shared" si="0"/>
        <v>20</v>
      </c>
      <c r="G35" s="170" t="s">
        <v>39</v>
      </c>
      <c r="H35" s="54">
        <v>0.96620300000000003</v>
      </c>
      <c r="I35" s="227">
        <v>38.65</v>
      </c>
    </row>
    <row r="36" spans="1:9" ht="14.4" thickBot="1" x14ac:dyDescent="0.3">
      <c r="A36" s="314"/>
      <c r="B36" s="173" t="s">
        <v>59</v>
      </c>
      <c r="C36" s="174" t="s">
        <v>64</v>
      </c>
      <c r="D36" s="168" t="s">
        <v>65</v>
      </c>
      <c r="E36" s="169">
        <v>70</v>
      </c>
      <c r="F36" s="12">
        <f t="shared" si="0"/>
        <v>35</v>
      </c>
      <c r="G36" s="170" t="s">
        <v>39</v>
      </c>
      <c r="H36" s="54">
        <v>0.76831099999999997</v>
      </c>
      <c r="I36" s="227">
        <v>53.78</v>
      </c>
    </row>
    <row r="37" spans="1:9" ht="14.4" thickBot="1" x14ac:dyDescent="0.3">
      <c r="A37" s="314"/>
      <c r="B37" s="173" t="s">
        <v>59</v>
      </c>
      <c r="C37" s="174" t="s">
        <v>66</v>
      </c>
      <c r="D37" s="168" t="s">
        <v>67</v>
      </c>
      <c r="E37" s="169">
        <v>25</v>
      </c>
      <c r="F37" s="12">
        <f t="shared" si="0"/>
        <v>12.5</v>
      </c>
      <c r="G37" s="170" t="s">
        <v>39</v>
      </c>
      <c r="H37" s="54">
        <v>0.414273</v>
      </c>
      <c r="I37" s="227">
        <v>10.36</v>
      </c>
    </row>
    <row r="38" spans="1:9" ht="14.4" thickBot="1" x14ac:dyDescent="0.3">
      <c r="A38" s="314"/>
      <c r="B38" s="175" t="s">
        <v>59</v>
      </c>
      <c r="C38" s="176" t="s">
        <v>68</v>
      </c>
      <c r="D38" s="177" t="s">
        <v>69</v>
      </c>
      <c r="E38" s="178">
        <v>40</v>
      </c>
      <c r="F38" s="12">
        <f t="shared" si="0"/>
        <v>20</v>
      </c>
      <c r="G38" s="179" t="s">
        <v>39</v>
      </c>
      <c r="H38" s="55">
        <v>0.86401399999999995</v>
      </c>
      <c r="I38" s="229">
        <v>34.56</v>
      </c>
    </row>
    <row r="39" spans="1:9" ht="14.4" thickBot="1" x14ac:dyDescent="0.3">
      <c r="A39" s="315" t="s">
        <v>70</v>
      </c>
      <c r="B39" s="34" t="s">
        <v>71</v>
      </c>
      <c r="C39" s="34" t="s">
        <v>48</v>
      </c>
      <c r="D39" s="19" t="s">
        <v>72</v>
      </c>
      <c r="E39" s="20">
        <v>5</v>
      </c>
      <c r="F39" s="12">
        <f t="shared" si="0"/>
        <v>2.5</v>
      </c>
      <c r="G39" s="20" t="s">
        <v>15</v>
      </c>
      <c r="H39" s="217">
        <v>5.96</v>
      </c>
      <c r="I39" s="223">
        <v>29.81</v>
      </c>
    </row>
    <row r="40" spans="1:9" ht="14.4" thickBot="1" x14ac:dyDescent="0.3">
      <c r="A40" s="316"/>
      <c r="B40" s="36" t="s">
        <v>71</v>
      </c>
      <c r="C40" s="36" t="s">
        <v>73</v>
      </c>
      <c r="D40" s="23" t="s">
        <v>16</v>
      </c>
      <c r="E40" s="22">
        <v>0.2</v>
      </c>
      <c r="F40" s="12">
        <f t="shared" si="0"/>
        <v>0.1</v>
      </c>
      <c r="G40" s="22" t="s">
        <v>17</v>
      </c>
      <c r="H40" s="24">
        <v>15</v>
      </c>
      <c r="I40" s="224">
        <f>H40*E40</f>
        <v>3</v>
      </c>
    </row>
    <row r="41" spans="1:9" ht="14.4" thickBot="1" x14ac:dyDescent="0.3">
      <c r="A41" s="316"/>
      <c r="B41" s="35" t="s">
        <v>71</v>
      </c>
      <c r="C41" s="35" t="s">
        <v>33</v>
      </c>
      <c r="D41" s="26" t="s">
        <v>34</v>
      </c>
      <c r="E41" s="27">
        <v>1</v>
      </c>
      <c r="F41" s="12">
        <f t="shared" si="0"/>
        <v>0.5</v>
      </c>
      <c r="G41" s="27" t="s">
        <v>24</v>
      </c>
      <c r="H41" s="28">
        <v>8.0960000000000008E-3</v>
      </c>
      <c r="I41" s="225">
        <v>8.1</v>
      </c>
    </row>
    <row r="42" spans="1:9" ht="14.4" thickBot="1" x14ac:dyDescent="0.3">
      <c r="A42" s="317"/>
      <c r="B42" s="41" t="s">
        <v>71</v>
      </c>
      <c r="C42" s="41" t="s">
        <v>56</v>
      </c>
      <c r="D42" s="31" t="s">
        <v>57</v>
      </c>
      <c r="E42" s="32">
        <v>180</v>
      </c>
      <c r="F42" s="12">
        <f t="shared" si="0"/>
        <v>90</v>
      </c>
      <c r="G42" s="32" t="s">
        <v>22</v>
      </c>
      <c r="H42" s="33">
        <v>2.2055999999999999E-2</v>
      </c>
      <c r="I42" s="226">
        <v>3.97</v>
      </c>
    </row>
    <row r="43" spans="1:9" ht="14.4" thickBot="1" x14ac:dyDescent="0.3">
      <c r="A43" s="303" t="s">
        <v>74</v>
      </c>
      <c r="B43" s="34" t="s">
        <v>75</v>
      </c>
      <c r="C43" s="45" t="s">
        <v>76</v>
      </c>
      <c r="D43" s="19" t="s">
        <v>77</v>
      </c>
      <c r="E43" s="20">
        <v>400</v>
      </c>
      <c r="F43" s="12">
        <f t="shared" si="0"/>
        <v>200</v>
      </c>
      <c r="G43" s="20" t="s">
        <v>24</v>
      </c>
      <c r="H43" s="21">
        <v>3.925E-2</v>
      </c>
      <c r="I43" s="223">
        <v>15.7</v>
      </c>
    </row>
    <row r="44" spans="1:9" ht="14.4" thickBot="1" x14ac:dyDescent="0.3">
      <c r="A44" s="304"/>
      <c r="B44" s="37" t="s">
        <v>75</v>
      </c>
      <c r="C44" s="37" t="s">
        <v>78</v>
      </c>
      <c r="D44" s="38" t="s">
        <v>79</v>
      </c>
      <c r="E44" s="39"/>
      <c r="F44" s="12">
        <f t="shared" si="0"/>
        <v>0</v>
      </c>
      <c r="G44" s="39" t="s">
        <v>24</v>
      </c>
      <c r="H44" s="44">
        <v>1.6379999999999999E-2</v>
      </c>
      <c r="I44" s="228"/>
    </row>
    <row r="45" spans="1:9" ht="14.4" thickBot="1" x14ac:dyDescent="0.3">
      <c r="A45" s="304"/>
      <c r="B45" s="36" t="s">
        <v>75</v>
      </c>
      <c r="C45" s="36"/>
      <c r="D45" s="23" t="s">
        <v>28</v>
      </c>
      <c r="E45" s="22">
        <v>0.5</v>
      </c>
      <c r="F45" s="12">
        <f t="shared" si="0"/>
        <v>0.25</v>
      </c>
      <c r="G45" s="22" t="s">
        <v>15</v>
      </c>
      <c r="H45" s="29">
        <v>32.5</v>
      </c>
      <c r="I45" s="224">
        <f>H45*E45</f>
        <v>16.25</v>
      </c>
    </row>
    <row r="46" spans="1:9" ht="14.4" thickBot="1" x14ac:dyDescent="0.3">
      <c r="A46" s="304"/>
      <c r="B46" s="36" t="s">
        <v>75</v>
      </c>
      <c r="C46" s="36"/>
      <c r="D46" s="23" t="s">
        <v>53</v>
      </c>
      <c r="E46" s="22">
        <v>1</v>
      </c>
      <c r="F46" s="12">
        <f t="shared" si="0"/>
        <v>0.5</v>
      </c>
      <c r="G46" s="22" t="s">
        <v>15</v>
      </c>
      <c r="H46" s="29">
        <v>33.25</v>
      </c>
      <c r="I46" s="224">
        <f>H46*E46</f>
        <v>33.25</v>
      </c>
    </row>
    <row r="47" spans="1:9" ht="14.4" thickBot="1" x14ac:dyDescent="0.3">
      <c r="A47" s="304"/>
      <c r="B47" s="36" t="s">
        <v>75</v>
      </c>
      <c r="C47" s="36"/>
      <c r="D47" s="23" t="s">
        <v>29</v>
      </c>
      <c r="E47" s="22">
        <v>1</v>
      </c>
      <c r="F47" s="12">
        <f t="shared" si="0"/>
        <v>0.5</v>
      </c>
      <c r="G47" s="22" t="s">
        <v>15</v>
      </c>
      <c r="H47" s="29">
        <v>18.97</v>
      </c>
      <c r="I47" s="224">
        <f>H47*E47</f>
        <v>18.97</v>
      </c>
    </row>
    <row r="48" spans="1:9" ht="14.4" thickBot="1" x14ac:dyDescent="0.3">
      <c r="A48" s="304"/>
      <c r="B48" s="36"/>
      <c r="C48" s="36"/>
      <c r="D48" s="23" t="s">
        <v>16</v>
      </c>
      <c r="E48" s="22">
        <v>0.2</v>
      </c>
      <c r="F48" s="12">
        <f t="shared" si="0"/>
        <v>0.1</v>
      </c>
      <c r="G48" s="22" t="s">
        <v>17</v>
      </c>
      <c r="H48" s="24">
        <v>15</v>
      </c>
      <c r="I48" s="224">
        <f>H48*E48</f>
        <v>3</v>
      </c>
    </row>
    <row r="49" spans="1:9" ht="14.4" thickBot="1" x14ac:dyDescent="0.3">
      <c r="A49" s="304"/>
      <c r="B49" s="35" t="s">
        <v>75</v>
      </c>
      <c r="C49" s="43" t="s">
        <v>33</v>
      </c>
      <c r="D49" s="26" t="s">
        <v>34</v>
      </c>
      <c r="E49" s="27">
        <v>1</v>
      </c>
      <c r="F49" s="12">
        <f t="shared" si="0"/>
        <v>0.5</v>
      </c>
      <c r="G49" s="27" t="s">
        <v>24</v>
      </c>
      <c r="H49" s="28">
        <v>8.0960000000000008E-3</v>
      </c>
      <c r="I49" s="225">
        <v>8.1</v>
      </c>
    </row>
    <row r="50" spans="1:9" ht="14.4" thickBot="1" x14ac:dyDescent="0.3">
      <c r="A50" s="305"/>
      <c r="B50" s="41" t="s">
        <v>75</v>
      </c>
      <c r="C50" s="41" t="s">
        <v>56</v>
      </c>
      <c r="D50" s="31" t="s">
        <v>57</v>
      </c>
      <c r="E50" s="32">
        <v>180</v>
      </c>
      <c r="F50" s="12">
        <f t="shared" si="0"/>
        <v>90</v>
      </c>
      <c r="G50" s="32" t="s">
        <v>22</v>
      </c>
      <c r="H50" s="33">
        <v>2.2055999999999999E-2</v>
      </c>
      <c r="I50" s="226">
        <v>3.97</v>
      </c>
    </row>
    <row r="51" spans="1:9" ht="14.4" thickBot="1" x14ac:dyDescent="0.3">
      <c r="A51" s="315" t="s">
        <v>80</v>
      </c>
      <c r="B51" s="173" t="s">
        <v>81</v>
      </c>
      <c r="C51" s="171" t="s">
        <v>60</v>
      </c>
      <c r="D51" s="168" t="s">
        <v>61</v>
      </c>
      <c r="E51" s="169">
        <v>4</v>
      </c>
      <c r="F51" s="12">
        <f t="shared" si="0"/>
        <v>2</v>
      </c>
      <c r="G51" s="170" t="s">
        <v>39</v>
      </c>
      <c r="H51" s="218">
        <v>1.27</v>
      </c>
      <c r="I51" s="227">
        <v>5.09</v>
      </c>
    </row>
    <row r="52" spans="1:9" ht="14.4" thickBot="1" x14ac:dyDescent="0.3">
      <c r="A52" s="316"/>
      <c r="B52" s="173" t="s">
        <v>81</v>
      </c>
      <c r="C52" s="174" t="s">
        <v>62</v>
      </c>
      <c r="D52" s="168" t="s">
        <v>38</v>
      </c>
      <c r="E52" s="169">
        <v>120</v>
      </c>
      <c r="F52" s="12">
        <f t="shared" si="0"/>
        <v>60</v>
      </c>
      <c r="G52" s="170" t="s">
        <v>39</v>
      </c>
      <c r="H52" s="54">
        <v>0.42920399999999997</v>
      </c>
      <c r="I52" s="227">
        <v>51.5</v>
      </c>
    </row>
    <row r="53" spans="1:9" ht="14.4" thickBot="1" x14ac:dyDescent="0.3">
      <c r="A53" s="316"/>
      <c r="B53" s="173" t="s">
        <v>81</v>
      </c>
      <c r="C53" s="174" t="s">
        <v>64</v>
      </c>
      <c r="D53" s="168" t="s">
        <v>65</v>
      </c>
      <c r="E53" s="169">
        <v>40</v>
      </c>
      <c r="F53" s="12">
        <f t="shared" si="0"/>
        <v>20</v>
      </c>
      <c r="G53" s="170" t="s">
        <v>39</v>
      </c>
      <c r="H53" s="54">
        <v>0.76831099999999997</v>
      </c>
      <c r="I53" s="227">
        <v>30.73</v>
      </c>
    </row>
    <row r="54" spans="1:9" ht="14.4" thickBot="1" x14ac:dyDescent="0.3">
      <c r="A54" s="316"/>
      <c r="B54" s="173" t="s">
        <v>81</v>
      </c>
      <c r="C54" s="174" t="s">
        <v>42</v>
      </c>
      <c r="D54" s="168" t="s">
        <v>43</v>
      </c>
      <c r="E54" s="169">
        <v>80</v>
      </c>
      <c r="F54" s="12">
        <f t="shared" si="0"/>
        <v>40</v>
      </c>
      <c r="G54" s="170" t="s">
        <v>39</v>
      </c>
      <c r="H54" s="54">
        <v>0.987286</v>
      </c>
      <c r="I54" s="227">
        <v>78.98</v>
      </c>
    </row>
    <row r="55" spans="1:9" ht="14.4" thickBot="1" x14ac:dyDescent="0.3">
      <c r="A55" s="316"/>
      <c r="B55" s="173" t="s">
        <v>81</v>
      </c>
      <c r="C55" s="174" t="s">
        <v>68</v>
      </c>
      <c r="D55" s="168" t="s">
        <v>69</v>
      </c>
      <c r="E55" s="169">
        <v>100</v>
      </c>
      <c r="F55" s="12">
        <f t="shared" si="0"/>
        <v>50</v>
      </c>
      <c r="G55" s="170" t="s">
        <v>39</v>
      </c>
      <c r="H55" s="54">
        <v>0.86401399999999995</v>
      </c>
      <c r="I55" s="227">
        <v>86.4</v>
      </c>
    </row>
    <row r="56" spans="1:9" ht="14.4" thickBot="1" x14ac:dyDescent="0.3">
      <c r="A56" s="318" t="s">
        <v>82</v>
      </c>
      <c r="B56" s="34" t="s">
        <v>83</v>
      </c>
      <c r="C56" s="34" t="s">
        <v>84</v>
      </c>
      <c r="D56" s="19" t="s">
        <v>85</v>
      </c>
      <c r="E56" s="20">
        <v>400</v>
      </c>
      <c r="F56" s="12">
        <f t="shared" si="0"/>
        <v>200</v>
      </c>
      <c r="G56" s="20" t="s">
        <v>22</v>
      </c>
      <c r="H56" s="21">
        <v>5.5442999999999999E-2</v>
      </c>
      <c r="I56" s="223">
        <v>22.18</v>
      </c>
    </row>
    <row r="57" spans="1:9" ht="14.4" thickBot="1" x14ac:dyDescent="0.3">
      <c r="A57" s="319"/>
      <c r="B57" s="35" t="s">
        <v>83</v>
      </c>
      <c r="C57" s="35" t="s">
        <v>86</v>
      </c>
      <c r="D57" s="26" t="s">
        <v>87</v>
      </c>
      <c r="E57" s="27">
        <v>400</v>
      </c>
      <c r="F57" s="12">
        <f t="shared" si="0"/>
        <v>200</v>
      </c>
      <c r="G57" s="27" t="s">
        <v>22</v>
      </c>
      <c r="H57" s="28">
        <v>2.4820999999999999E-2</v>
      </c>
      <c r="I57" s="225">
        <v>9.93</v>
      </c>
    </row>
    <row r="58" spans="1:9" ht="14.4" thickBot="1" x14ac:dyDescent="0.3">
      <c r="A58" s="319"/>
      <c r="B58" s="35" t="s">
        <v>83</v>
      </c>
      <c r="C58" s="43" t="s">
        <v>88</v>
      </c>
      <c r="D58" s="26" t="s">
        <v>89</v>
      </c>
      <c r="E58" s="27">
        <v>300</v>
      </c>
      <c r="F58" s="12">
        <f t="shared" si="0"/>
        <v>150</v>
      </c>
      <c r="G58" s="27" t="s">
        <v>22</v>
      </c>
      <c r="H58" s="28">
        <v>7.1400000000000005E-2</v>
      </c>
      <c r="I58" s="225">
        <v>21.42</v>
      </c>
    </row>
    <row r="59" spans="1:9" ht="14.4" thickBot="1" x14ac:dyDescent="0.3">
      <c r="A59" s="319"/>
      <c r="B59" s="36"/>
      <c r="C59" s="36"/>
      <c r="D59" s="23" t="s">
        <v>28</v>
      </c>
      <c r="E59" s="22">
        <v>0.5</v>
      </c>
      <c r="F59" s="12">
        <f t="shared" si="0"/>
        <v>0.25</v>
      </c>
      <c r="G59" s="22" t="s">
        <v>15</v>
      </c>
      <c r="H59" s="46">
        <v>32.5</v>
      </c>
      <c r="I59" s="224">
        <f>H59*E59</f>
        <v>16.25</v>
      </c>
    </row>
    <row r="60" spans="1:9" ht="14.4" thickBot="1" x14ac:dyDescent="0.3">
      <c r="A60" s="319"/>
      <c r="B60" s="36"/>
      <c r="C60" s="36"/>
      <c r="D60" s="23" t="s">
        <v>90</v>
      </c>
      <c r="E60" s="22">
        <v>1.5</v>
      </c>
      <c r="F60" s="12">
        <f t="shared" si="0"/>
        <v>0.75</v>
      </c>
      <c r="G60" s="22" t="s">
        <v>15</v>
      </c>
      <c r="H60" s="24">
        <v>18.170000000000002</v>
      </c>
      <c r="I60" s="224">
        <f>10*E60</f>
        <v>15</v>
      </c>
    </row>
    <row r="61" spans="1:9" ht="14.4" thickBot="1" x14ac:dyDescent="0.3">
      <c r="A61" s="319"/>
      <c r="B61" s="35" t="s">
        <v>83</v>
      </c>
      <c r="C61" s="35" t="s">
        <v>33</v>
      </c>
      <c r="D61" s="26" t="s">
        <v>34</v>
      </c>
      <c r="E61" s="27">
        <v>1</v>
      </c>
      <c r="F61" s="12">
        <f t="shared" si="0"/>
        <v>0.5</v>
      </c>
      <c r="G61" s="27" t="s">
        <v>24</v>
      </c>
      <c r="H61" s="28">
        <v>8.0960000000000008E-3</v>
      </c>
      <c r="I61" s="225">
        <f>H61*E61</f>
        <v>8.0960000000000008E-3</v>
      </c>
    </row>
    <row r="62" spans="1:9" ht="14.4" thickBot="1" x14ac:dyDescent="0.3">
      <c r="A62" s="320"/>
      <c r="B62" s="41" t="s">
        <v>83</v>
      </c>
      <c r="C62" s="41" t="s">
        <v>56</v>
      </c>
      <c r="D62" s="31" t="s">
        <v>57</v>
      </c>
      <c r="E62" s="32">
        <v>180</v>
      </c>
      <c r="F62" s="12">
        <f t="shared" si="0"/>
        <v>90</v>
      </c>
      <c r="G62" s="32" t="s">
        <v>22</v>
      </c>
      <c r="H62" s="33">
        <v>2.2055999999999999E-2</v>
      </c>
      <c r="I62" s="226">
        <f>H62*E62</f>
        <v>3.9700799999999998</v>
      </c>
    </row>
    <row r="63" spans="1:9" ht="14.4" thickBot="1" x14ac:dyDescent="0.3">
      <c r="A63" s="321" t="s">
        <v>91</v>
      </c>
      <c r="B63" s="173" t="s">
        <v>92</v>
      </c>
      <c r="C63" s="174" t="s">
        <v>64</v>
      </c>
      <c r="D63" s="168" t="s">
        <v>65</v>
      </c>
      <c r="E63" s="169">
        <v>30</v>
      </c>
      <c r="F63" s="12">
        <f t="shared" si="0"/>
        <v>15</v>
      </c>
      <c r="G63" s="170" t="s">
        <v>39</v>
      </c>
      <c r="H63" s="54">
        <v>0.76831099999999997</v>
      </c>
      <c r="I63" s="227">
        <v>23.05</v>
      </c>
    </row>
    <row r="64" spans="1:9" ht="14.4" thickBot="1" x14ac:dyDescent="0.3">
      <c r="A64" s="322"/>
      <c r="B64" s="173" t="s">
        <v>92</v>
      </c>
      <c r="C64" s="171" t="s">
        <v>62</v>
      </c>
      <c r="D64" s="168" t="s">
        <v>38</v>
      </c>
      <c r="E64" s="169">
        <v>40</v>
      </c>
      <c r="F64" s="12">
        <f t="shared" si="0"/>
        <v>20</v>
      </c>
      <c r="G64" s="170" t="s">
        <v>39</v>
      </c>
      <c r="H64" s="54">
        <v>0.42920399999999997</v>
      </c>
      <c r="I64" s="227">
        <v>17.170000000000002</v>
      </c>
    </row>
    <row r="65" spans="1:9" ht="14.4" thickBot="1" x14ac:dyDescent="0.3">
      <c r="A65" s="323"/>
      <c r="B65" s="173" t="s">
        <v>92</v>
      </c>
      <c r="C65" s="171" t="s">
        <v>42</v>
      </c>
      <c r="D65" s="168" t="s">
        <v>43</v>
      </c>
      <c r="E65" s="169">
        <v>180</v>
      </c>
      <c r="F65" s="12">
        <f t="shared" si="0"/>
        <v>90</v>
      </c>
      <c r="G65" s="170" t="s">
        <v>39</v>
      </c>
      <c r="H65" s="54">
        <v>0.987286</v>
      </c>
      <c r="I65" s="227">
        <v>177.71</v>
      </c>
    </row>
    <row r="66" spans="1:9" ht="14.4" thickBot="1" x14ac:dyDescent="0.3">
      <c r="A66" s="303" t="s">
        <v>93</v>
      </c>
      <c r="B66" s="34" t="s">
        <v>94</v>
      </c>
      <c r="C66" s="34" t="s">
        <v>95</v>
      </c>
      <c r="D66" s="19" t="s">
        <v>96</v>
      </c>
      <c r="E66" s="20">
        <v>100</v>
      </c>
      <c r="F66" s="12">
        <f t="shared" si="0"/>
        <v>50</v>
      </c>
      <c r="G66" s="20" t="s">
        <v>22</v>
      </c>
      <c r="H66" s="21">
        <v>0.113652</v>
      </c>
      <c r="I66" s="223">
        <v>11.37</v>
      </c>
    </row>
    <row r="67" spans="1:9" ht="14.4" thickBot="1" x14ac:dyDescent="0.3">
      <c r="A67" s="304"/>
      <c r="B67" s="35" t="s">
        <v>94</v>
      </c>
      <c r="C67" s="35" t="s">
        <v>97</v>
      </c>
      <c r="D67" s="26" t="s">
        <v>98</v>
      </c>
      <c r="E67" s="27">
        <v>200</v>
      </c>
      <c r="F67" s="12">
        <f t="shared" si="0"/>
        <v>100</v>
      </c>
      <c r="G67" s="27" t="s">
        <v>22</v>
      </c>
      <c r="H67" s="28">
        <v>0.123683</v>
      </c>
      <c r="I67" s="225">
        <v>24.74</v>
      </c>
    </row>
    <row r="68" spans="1:9" ht="14.4" thickBot="1" x14ac:dyDescent="0.3">
      <c r="A68" s="304"/>
      <c r="B68" s="35" t="s">
        <v>94</v>
      </c>
      <c r="C68" s="43" t="s">
        <v>54</v>
      </c>
      <c r="D68" s="26" t="s">
        <v>55</v>
      </c>
      <c r="E68" s="27">
        <v>500</v>
      </c>
      <c r="F68" s="12">
        <f t="shared" si="0"/>
        <v>250</v>
      </c>
      <c r="G68" s="27" t="s">
        <v>22</v>
      </c>
      <c r="H68" s="28">
        <v>1.8568999999999999E-2</v>
      </c>
      <c r="I68" s="225">
        <v>9.2799999999999994</v>
      </c>
    </row>
    <row r="69" spans="1:9" ht="14.4" thickBot="1" x14ac:dyDescent="0.3">
      <c r="A69" s="304"/>
      <c r="B69" s="36" t="s">
        <v>94</v>
      </c>
      <c r="C69" s="36"/>
      <c r="D69" s="23" t="s">
        <v>28</v>
      </c>
      <c r="E69" s="22">
        <v>0.5</v>
      </c>
      <c r="F69" s="12">
        <f t="shared" si="0"/>
        <v>0.25</v>
      </c>
      <c r="G69" s="22" t="s">
        <v>15</v>
      </c>
      <c r="H69" s="29">
        <v>32.5</v>
      </c>
      <c r="I69" s="224">
        <f>H69*E69</f>
        <v>16.25</v>
      </c>
    </row>
    <row r="70" spans="1:9" ht="14.4" thickBot="1" x14ac:dyDescent="0.3">
      <c r="A70" s="304"/>
      <c r="B70" s="36" t="s">
        <v>94</v>
      </c>
      <c r="C70" s="36"/>
      <c r="D70" s="23" t="s">
        <v>29</v>
      </c>
      <c r="E70" s="22">
        <v>1</v>
      </c>
      <c r="F70" s="12">
        <f t="shared" ref="F70:F82" si="1">E70/2</f>
        <v>0.5</v>
      </c>
      <c r="G70" s="22" t="s">
        <v>15</v>
      </c>
      <c r="H70" s="29">
        <v>18.97</v>
      </c>
      <c r="I70" s="224">
        <f>H70*E70</f>
        <v>18.97</v>
      </c>
    </row>
    <row r="71" spans="1:9" ht="14.4" thickBot="1" x14ac:dyDescent="0.3">
      <c r="A71" s="304"/>
      <c r="B71" s="36" t="s">
        <v>94</v>
      </c>
      <c r="C71" s="36"/>
      <c r="D71" s="23" t="s">
        <v>99</v>
      </c>
      <c r="E71" s="22">
        <v>1</v>
      </c>
      <c r="F71" s="12">
        <f t="shared" si="1"/>
        <v>0.5</v>
      </c>
      <c r="G71" s="22" t="s">
        <v>15</v>
      </c>
      <c r="H71" s="24">
        <f>'[1]Manejo Vitenza'!E24</f>
        <v>18.1675</v>
      </c>
      <c r="I71" s="224">
        <f>H71*E71</f>
        <v>18.1675</v>
      </c>
    </row>
    <row r="72" spans="1:9" ht="14.4" thickBot="1" x14ac:dyDescent="0.3">
      <c r="A72" s="304"/>
      <c r="B72" s="35" t="s">
        <v>94</v>
      </c>
      <c r="C72" s="43" t="s">
        <v>33</v>
      </c>
      <c r="D72" s="26" t="s">
        <v>34</v>
      </c>
      <c r="E72" s="27">
        <v>1</v>
      </c>
      <c r="F72" s="12">
        <f t="shared" si="1"/>
        <v>0.5</v>
      </c>
      <c r="G72" s="27" t="s">
        <v>24</v>
      </c>
      <c r="H72" s="28">
        <v>8.0960000000000008E-3</v>
      </c>
      <c r="I72" s="225">
        <v>8.1</v>
      </c>
    </row>
    <row r="73" spans="1:9" ht="14.4" thickBot="1" x14ac:dyDescent="0.3">
      <c r="A73" s="305"/>
      <c r="B73" s="41" t="s">
        <v>94</v>
      </c>
      <c r="C73" s="41" t="s">
        <v>56</v>
      </c>
      <c r="D73" s="31" t="s">
        <v>57</v>
      </c>
      <c r="E73" s="32">
        <v>180</v>
      </c>
      <c r="F73" s="12">
        <f t="shared" si="1"/>
        <v>90</v>
      </c>
      <c r="G73" s="32" t="s">
        <v>22</v>
      </c>
      <c r="H73" s="33">
        <v>2.2055999999999999E-2</v>
      </c>
      <c r="I73" s="226">
        <v>3.97</v>
      </c>
    </row>
    <row r="74" spans="1:9" ht="14.4" thickBot="1" x14ac:dyDescent="0.3">
      <c r="A74" s="306" t="s">
        <v>100</v>
      </c>
      <c r="B74" s="34" t="s">
        <v>101</v>
      </c>
      <c r="C74" s="34" t="s">
        <v>102</v>
      </c>
      <c r="D74" s="19" t="s">
        <v>103</v>
      </c>
      <c r="E74" s="20">
        <v>150</v>
      </c>
      <c r="F74" s="12">
        <f t="shared" si="1"/>
        <v>75</v>
      </c>
      <c r="G74" s="20" t="s">
        <v>22</v>
      </c>
      <c r="H74" s="21">
        <v>0.32379599999999997</v>
      </c>
      <c r="I74" s="223">
        <v>48.57</v>
      </c>
    </row>
    <row r="75" spans="1:9" ht="14.4" thickBot="1" x14ac:dyDescent="0.3">
      <c r="A75" s="307"/>
      <c r="B75" s="35" t="s">
        <v>101</v>
      </c>
      <c r="C75" s="35" t="s">
        <v>46</v>
      </c>
      <c r="D75" s="26" t="s">
        <v>47</v>
      </c>
      <c r="E75" s="27">
        <v>250</v>
      </c>
      <c r="F75" s="12">
        <f t="shared" si="1"/>
        <v>125</v>
      </c>
      <c r="G75" s="27" t="s">
        <v>22</v>
      </c>
      <c r="H75" s="28">
        <v>2.9127E-2</v>
      </c>
      <c r="I75" s="225">
        <v>7.28</v>
      </c>
    </row>
    <row r="76" spans="1:9" ht="14.4" thickBot="1" x14ac:dyDescent="0.3">
      <c r="A76" s="307"/>
      <c r="B76" s="35" t="s">
        <v>101</v>
      </c>
      <c r="C76" s="43" t="s">
        <v>104</v>
      </c>
      <c r="D76" s="26" t="s">
        <v>105</v>
      </c>
      <c r="E76" s="27">
        <v>400</v>
      </c>
      <c r="F76" s="12">
        <f t="shared" si="1"/>
        <v>200</v>
      </c>
      <c r="G76" s="27" t="s">
        <v>22</v>
      </c>
      <c r="H76" s="28">
        <v>4.1161999999999997E-2</v>
      </c>
      <c r="I76" s="225">
        <v>16.46</v>
      </c>
    </row>
    <row r="77" spans="1:9" ht="14.4" thickBot="1" x14ac:dyDescent="0.3">
      <c r="A77" s="307"/>
      <c r="B77" s="36"/>
      <c r="C77" s="36"/>
      <c r="D77" s="23" t="s">
        <v>28</v>
      </c>
      <c r="E77" s="22">
        <v>1</v>
      </c>
      <c r="F77" s="12">
        <f t="shared" si="1"/>
        <v>0.5</v>
      </c>
      <c r="G77" s="22" t="s">
        <v>15</v>
      </c>
      <c r="H77" s="24">
        <f>'[1]Manejo Vitenza'!E25</f>
        <v>32.123000000000005</v>
      </c>
      <c r="I77" s="224">
        <f>H77*E77</f>
        <v>32.123000000000005</v>
      </c>
    </row>
    <row r="78" spans="1:9" ht="14.4" thickBot="1" x14ac:dyDescent="0.3">
      <c r="A78" s="307"/>
      <c r="B78" s="36"/>
      <c r="C78" s="36"/>
      <c r="D78" s="23" t="s">
        <v>29</v>
      </c>
      <c r="E78" s="22">
        <v>1</v>
      </c>
      <c r="F78" s="12">
        <f t="shared" si="1"/>
        <v>0.5</v>
      </c>
      <c r="G78" s="22" t="s">
        <v>15</v>
      </c>
      <c r="H78" s="24">
        <f>'[1]Manejo Vitenza'!E26</f>
        <v>16.445</v>
      </c>
      <c r="I78" s="224">
        <f>H78*E78</f>
        <v>16.445</v>
      </c>
    </row>
    <row r="79" spans="1:9" ht="14.4" thickBot="1" x14ac:dyDescent="0.3">
      <c r="A79" s="307"/>
      <c r="B79" s="36"/>
      <c r="C79" s="36"/>
      <c r="D79" s="23" t="s">
        <v>99</v>
      </c>
      <c r="E79" s="22">
        <v>1</v>
      </c>
      <c r="F79" s="12">
        <f t="shared" si="1"/>
        <v>0.5</v>
      </c>
      <c r="G79" s="22" t="s">
        <v>15</v>
      </c>
      <c r="H79" s="29">
        <v>18.7</v>
      </c>
      <c r="I79" s="224">
        <f>H79*E79</f>
        <v>18.7</v>
      </c>
    </row>
    <row r="80" spans="1:9" ht="14.4" thickBot="1" x14ac:dyDescent="0.3">
      <c r="A80" s="308"/>
      <c r="B80" s="41" t="s">
        <v>101</v>
      </c>
      <c r="C80" s="41" t="s">
        <v>33</v>
      </c>
      <c r="D80" s="47" t="s">
        <v>34</v>
      </c>
      <c r="E80" s="32">
        <v>1</v>
      </c>
      <c r="F80" s="12">
        <f t="shared" si="1"/>
        <v>0.5</v>
      </c>
      <c r="G80" s="32" t="s">
        <v>24</v>
      </c>
      <c r="H80" s="219">
        <v>8.0960000000000008E-3</v>
      </c>
      <c r="I80" s="226">
        <v>8.1</v>
      </c>
    </row>
    <row r="81" spans="1:9" ht="14.4" thickBot="1" x14ac:dyDescent="0.3">
      <c r="A81" s="309" t="s">
        <v>106</v>
      </c>
      <c r="B81" s="48"/>
      <c r="C81" s="48"/>
      <c r="D81" s="13" t="s">
        <v>28</v>
      </c>
      <c r="E81" s="12">
        <v>0.5</v>
      </c>
      <c r="F81" s="12">
        <f t="shared" si="1"/>
        <v>0.25</v>
      </c>
      <c r="G81" s="12" t="s">
        <v>15</v>
      </c>
      <c r="H81" s="49">
        <v>32.5</v>
      </c>
      <c r="I81" s="221">
        <f>H81*E81</f>
        <v>16.25</v>
      </c>
    </row>
    <row r="82" spans="1:9" ht="14.4" thickBot="1" x14ac:dyDescent="0.3">
      <c r="A82" s="310"/>
      <c r="B82" s="50"/>
      <c r="C82" s="50"/>
      <c r="D82" s="16" t="s">
        <v>53</v>
      </c>
      <c r="E82" s="15">
        <v>1</v>
      </c>
      <c r="F82" s="12">
        <f t="shared" si="1"/>
        <v>0.5</v>
      </c>
      <c r="G82" s="15" t="s">
        <v>15</v>
      </c>
      <c r="H82" s="51">
        <v>33.25</v>
      </c>
      <c r="I82" s="222">
        <f>H82*E82</f>
        <v>33.25</v>
      </c>
    </row>
    <row r="83" spans="1:9" ht="14.4" thickBot="1" x14ac:dyDescent="0.3">
      <c r="E83" s="53"/>
      <c r="F83" s="53"/>
      <c r="G83" s="311" t="s">
        <v>7</v>
      </c>
      <c r="H83" s="312"/>
      <c r="I83" s="230">
        <f>SUM(I4:I82)</f>
        <v>2474.573676</v>
      </c>
    </row>
  </sheetData>
  <mergeCells count="16">
    <mergeCell ref="A24:A31"/>
    <mergeCell ref="A1:I2"/>
    <mergeCell ref="A5:A6"/>
    <mergeCell ref="A7:A13"/>
    <mergeCell ref="A14:A17"/>
    <mergeCell ref="A18:A23"/>
    <mergeCell ref="A66:A73"/>
    <mergeCell ref="A74:A80"/>
    <mergeCell ref="A81:A82"/>
    <mergeCell ref="G83:H83"/>
    <mergeCell ref="A32:A38"/>
    <mergeCell ref="A39:A42"/>
    <mergeCell ref="A43:A50"/>
    <mergeCell ref="A51:A55"/>
    <mergeCell ref="A56:A62"/>
    <mergeCell ref="A63:A65"/>
  </mergeCells>
  <pageMargins left="0.25" right="0.25" top="0.75" bottom="0.75" header="0.3" footer="0.3"/>
  <pageSetup fitToHeight="0" orientation="landscape" horizontalDpi="1200" verticalDpi="1200" r:id="rId1"/>
  <rowBreaks count="2" manualBreakCount="2">
    <brk id="31" max="16383" man="1"/>
    <brk id="62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39649-CF78-4E4B-87F5-7373D9C0302B}">
  <dimension ref="A1:F31"/>
  <sheetViews>
    <sheetView workbookViewId="0">
      <selection activeCell="H10" sqref="H10"/>
    </sheetView>
  </sheetViews>
  <sheetFormatPr baseColWidth="10" defaultRowHeight="14.4" x14ac:dyDescent="0.3"/>
  <cols>
    <col min="3" max="3" width="26.109375" customWidth="1"/>
  </cols>
  <sheetData>
    <row r="1" spans="1:6" x14ac:dyDescent="0.3">
      <c r="A1" s="350" t="s">
        <v>141</v>
      </c>
      <c r="B1" s="351"/>
      <c r="C1" s="351"/>
      <c r="D1" s="351"/>
      <c r="E1" s="351"/>
      <c r="F1" s="352"/>
    </row>
    <row r="2" spans="1:6" ht="33.9" customHeight="1" thickBot="1" x14ac:dyDescent="0.35">
      <c r="A2" s="353"/>
      <c r="B2" s="354"/>
      <c r="C2" s="354"/>
      <c r="D2" s="354"/>
      <c r="E2" s="354"/>
      <c r="F2" s="355"/>
    </row>
    <row r="3" spans="1:6" ht="15" thickBot="1" x14ac:dyDescent="0.35">
      <c r="A3" s="356" t="s">
        <v>142</v>
      </c>
      <c r="B3" s="357"/>
      <c r="C3" s="358">
        <v>0.3</v>
      </c>
      <c r="D3" s="359"/>
      <c r="E3" s="359"/>
      <c r="F3" s="360"/>
    </row>
    <row r="4" spans="1:6" ht="28.8" thickBot="1" x14ac:dyDescent="0.35">
      <c r="A4" s="232" t="s">
        <v>143</v>
      </c>
      <c r="B4" s="233" t="s">
        <v>144</v>
      </c>
      <c r="C4" s="233" t="s">
        <v>145</v>
      </c>
      <c r="D4" s="234" t="s">
        <v>146</v>
      </c>
      <c r="E4" s="234" t="s">
        <v>147</v>
      </c>
      <c r="F4" s="235" t="s">
        <v>148</v>
      </c>
    </row>
    <row r="5" spans="1:6" x14ac:dyDescent="0.3">
      <c r="A5" s="336">
        <v>0</v>
      </c>
      <c r="B5" s="343" t="s">
        <v>149</v>
      </c>
      <c r="C5" s="236" t="s">
        <v>14</v>
      </c>
      <c r="D5" s="237">
        <v>0.5</v>
      </c>
      <c r="E5" s="238">
        <v>11.5</v>
      </c>
      <c r="F5" s="239">
        <f t="shared" ref="F5:F30" si="0">D5*E5</f>
        <v>5.75</v>
      </c>
    </row>
    <row r="6" spans="1:6" ht="15" thickBot="1" x14ac:dyDescent="0.35">
      <c r="A6" s="337"/>
      <c r="B6" s="344"/>
      <c r="C6" s="240" t="s">
        <v>16</v>
      </c>
      <c r="D6" s="241">
        <v>0.1</v>
      </c>
      <c r="E6" s="242">
        <v>15</v>
      </c>
      <c r="F6" s="243">
        <f t="shared" si="0"/>
        <v>1.5</v>
      </c>
    </row>
    <row r="7" spans="1:6" x14ac:dyDescent="0.3">
      <c r="A7" s="361"/>
      <c r="B7" s="336" t="s">
        <v>150</v>
      </c>
      <c r="C7" s="236" t="s">
        <v>16</v>
      </c>
      <c r="D7" s="237">
        <v>0.1</v>
      </c>
      <c r="E7" s="238">
        <v>15</v>
      </c>
      <c r="F7" s="239">
        <f t="shared" si="0"/>
        <v>1.5</v>
      </c>
    </row>
    <row r="8" spans="1:6" x14ac:dyDescent="0.3">
      <c r="A8" s="361"/>
      <c r="B8" s="337"/>
      <c r="C8" s="244" t="s">
        <v>28</v>
      </c>
      <c r="D8" s="245">
        <v>0.25</v>
      </c>
      <c r="E8" s="246">
        <v>32.5</v>
      </c>
      <c r="F8" s="247">
        <f t="shared" si="0"/>
        <v>8.125</v>
      </c>
    </row>
    <row r="9" spans="1:6" ht="15" thickBot="1" x14ac:dyDescent="0.35">
      <c r="A9" s="361"/>
      <c r="B9" s="346"/>
      <c r="C9" s="248" t="s">
        <v>29</v>
      </c>
      <c r="D9" s="249">
        <v>0.5</v>
      </c>
      <c r="E9" s="250">
        <v>18.97</v>
      </c>
      <c r="F9" s="251">
        <f t="shared" si="0"/>
        <v>9.4849999999999994</v>
      </c>
    </row>
    <row r="10" spans="1:6" ht="15" thickBot="1" x14ac:dyDescent="0.35">
      <c r="A10" s="336">
        <v>2</v>
      </c>
      <c r="B10" s="338" t="s">
        <v>152</v>
      </c>
      <c r="C10" s="244" t="s">
        <v>14</v>
      </c>
      <c r="D10" s="245">
        <v>1</v>
      </c>
      <c r="E10" s="238">
        <v>11.5</v>
      </c>
      <c r="F10" s="257">
        <f t="shared" si="0"/>
        <v>11.5</v>
      </c>
    </row>
    <row r="11" spans="1:6" ht="15" thickBot="1" x14ac:dyDescent="0.35">
      <c r="A11" s="337"/>
      <c r="B11" s="339"/>
      <c r="C11" s="240" t="s">
        <v>16</v>
      </c>
      <c r="D11" s="241">
        <v>0.25</v>
      </c>
      <c r="E11" s="269">
        <v>15</v>
      </c>
      <c r="F11" s="259">
        <f t="shared" si="0"/>
        <v>3.75</v>
      </c>
    </row>
    <row r="12" spans="1:6" ht="15" thickBot="1" x14ac:dyDescent="0.35">
      <c r="A12" s="336">
        <v>4</v>
      </c>
      <c r="B12" s="338" t="s">
        <v>153</v>
      </c>
      <c r="C12" s="236" t="s">
        <v>28</v>
      </c>
      <c r="D12" s="237">
        <v>0.25</v>
      </c>
      <c r="E12" s="238">
        <v>32.5</v>
      </c>
      <c r="F12" s="257">
        <f t="shared" si="0"/>
        <v>8.125</v>
      </c>
    </row>
    <row r="13" spans="1:6" ht="15" thickBot="1" x14ac:dyDescent="0.35">
      <c r="A13" s="337"/>
      <c r="B13" s="339"/>
      <c r="C13" s="244" t="s">
        <v>16</v>
      </c>
      <c r="D13" s="245">
        <v>0.1</v>
      </c>
      <c r="E13" s="258">
        <v>15</v>
      </c>
      <c r="F13" s="257">
        <f t="shared" si="0"/>
        <v>1.5</v>
      </c>
    </row>
    <row r="14" spans="1:6" ht="15" thickBot="1" x14ac:dyDescent="0.35">
      <c r="A14" s="337"/>
      <c r="B14" s="339"/>
      <c r="C14" s="244" t="s">
        <v>53</v>
      </c>
      <c r="D14" s="245">
        <v>0.5</v>
      </c>
      <c r="E14" s="246">
        <v>33.25</v>
      </c>
      <c r="F14" s="257">
        <f t="shared" si="0"/>
        <v>16.625</v>
      </c>
    </row>
    <row r="15" spans="1:6" ht="15" thickBot="1" x14ac:dyDescent="0.35">
      <c r="A15" s="346"/>
      <c r="B15" s="347"/>
      <c r="C15" s="248" t="s">
        <v>29</v>
      </c>
      <c r="D15" s="249">
        <v>0.5</v>
      </c>
      <c r="E15" s="277">
        <v>18.97</v>
      </c>
      <c r="F15" s="256">
        <f t="shared" si="0"/>
        <v>9.4849999999999994</v>
      </c>
    </row>
    <row r="16" spans="1:6" ht="15" thickBot="1" x14ac:dyDescent="0.35">
      <c r="A16" s="260">
        <v>5</v>
      </c>
      <c r="B16" s="252" t="s">
        <v>153</v>
      </c>
      <c r="C16" s="261" t="s">
        <v>16</v>
      </c>
      <c r="D16" s="262">
        <v>0.1</v>
      </c>
      <c r="E16" s="263">
        <v>15</v>
      </c>
      <c r="F16" s="256">
        <f t="shared" si="0"/>
        <v>1.5</v>
      </c>
    </row>
    <row r="17" spans="1:6" x14ac:dyDescent="0.3">
      <c r="A17" s="336">
        <v>6</v>
      </c>
      <c r="B17" s="348" t="s">
        <v>153</v>
      </c>
      <c r="C17" s="264" t="s">
        <v>28</v>
      </c>
      <c r="D17" s="265">
        <v>0.25</v>
      </c>
      <c r="E17" s="266">
        <v>32.5</v>
      </c>
      <c r="F17" s="267">
        <f t="shared" si="0"/>
        <v>8.125</v>
      </c>
    </row>
    <row r="18" spans="1:6" x14ac:dyDescent="0.3">
      <c r="A18" s="337"/>
      <c r="B18" s="348"/>
      <c r="C18" s="244" t="s">
        <v>53</v>
      </c>
      <c r="D18" s="245">
        <v>0.5</v>
      </c>
      <c r="E18" s="246">
        <v>33.25</v>
      </c>
      <c r="F18" s="268">
        <f t="shared" si="0"/>
        <v>16.625</v>
      </c>
    </row>
    <row r="19" spans="1:6" x14ac:dyDescent="0.3">
      <c r="A19" s="337"/>
      <c r="B19" s="348"/>
      <c r="C19" s="244" t="s">
        <v>29</v>
      </c>
      <c r="D19" s="245">
        <v>0.5</v>
      </c>
      <c r="E19" s="246">
        <v>18.97</v>
      </c>
      <c r="F19" s="268">
        <f t="shared" si="0"/>
        <v>9.4849999999999994</v>
      </c>
    </row>
    <row r="20" spans="1:6" ht="15" thickBot="1" x14ac:dyDescent="0.35">
      <c r="A20" s="346"/>
      <c r="B20" s="348"/>
      <c r="C20" s="240" t="s">
        <v>16</v>
      </c>
      <c r="D20" s="241">
        <v>0.1</v>
      </c>
      <c r="E20" s="269">
        <v>15</v>
      </c>
      <c r="F20" s="270">
        <f t="shared" si="0"/>
        <v>1.5</v>
      </c>
    </row>
    <row r="21" spans="1:6" x14ac:dyDescent="0.3">
      <c r="A21" s="337"/>
      <c r="B21" s="348" t="s">
        <v>153</v>
      </c>
      <c r="C21" s="273" t="s">
        <v>28</v>
      </c>
      <c r="D21" s="265">
        <v>0.25</v>
      </c>
      <c r="E21" s="266">
        <v>32.5</v>
      </c>
      <c r="F21" s="267">
        <f t="shared" si="0"/>
        <v>8.125</v>
      </c>
    </row>
    <row r="22" spans="1:6" ht="15" thickBot="1" x14ac:dyDescent="0.35">
      <c r="A22" s="346"/>
      <c r="B22" s="349"/>
      <c r="C22" s="274" t="s">
        <v>90</v>
      </c>
      <c r="D22" s="245">
        <v>0.75</v>
      </c>
      <c r="E22" s="246">
        <v>18.170000000000002</v>
      </c>
      <c r="F22" s="275">
        <f t="shared" si="0"/>
        <v>13.627500000000001</v>
      </c>
    </row>
    <row r="23" spans="1:6" x14ac:dyDescent="0.3">
      <c r="A23" s="337"/>
      <c r="B23" s="338" t="s">
        <v>153</v>
      </c>
      <c r="C23" s="236" t="s">
        <v>28</v>
      </c>
      <c r="D23" s="237">
        <v>0.25</v>
      </c>
      <c r="E23" s="238">
        <v>32.5</v>
      </c>
      <c r="F23" s="257">
        <f t="shared" si="0"/>
        <v>8.125</v>
      </c>
    </row>
    <row r="24" spans="1:6" x14ac:dyDescent="0.3">
      <c r="A24" s="337"/>
      <c r="B24" s="339"/>
      <c r="C24" s="244" t="s">
        <v>29</v>
      </c>
      <c r="D24" s="245">
        <v>0.5</v>
      </c>
      <c r="E24" s="246">
        <v>18.97</v>
      </c>
      <c r="F24" s="276">
        <f t="shared" si="0"/>
        <v>9.4849999999999994</v>
      </c>
    </row>
    <row r="25" spans="1:6" ht="15" thickBot="1" x14ac:dyDescent="0.35">
      <c r="A25" s="346"/>
      <c r="B25" s="347"/>
      <c r="C25" s="248" t="s">
        <v>99</v>
      </c>
      <c r="D25" s="249">
        <v>0.5</v>
      </c>
      <c r="E25" s="277">
        <v>18.1675</v>
      </c>
      <c r="F25" s="278">
        <f t="shared" si="0"/>
        <v>9.0837500000000002</v>
      </c>
    </row>
    <row r="26" spans="1:6" x14ac:dyDescent="0.3">
      <c r="A26" s="340">
        <v>10</v>
      </c>
      <c r="B26" s="343" t="s">
        <v>153</v>
      </c>
      <c r="C26" s="236" t="s">
        <v>28</v>
      </c>
      <c r="D26" s="237">
        <v>0.5</v>
      </c>
      <c r="E26" s="238">
        <v>32.123000000000005</v>
      </c>
      <c r="F26" s="239">
        <f t="shared" si="0"/>
        <v>16.061500000000002</v>
      </c>
    </row>
    <row r="27" spans="1:6" x14ac:dyDescent="0.3">
      <c r="A27" s="341"/>
      <c r="B27" s="344"/>
      <c r="C27" s="244" t="s">
        <v>29</v>
      </c>
      <c r="D27" s="245">
        <v>0.5</v>
      </c>
      <c r="E27" s="246">
        <v>16.45</v>
      </c>
      <c r="F27" s="247">
        <f t="shared" si="0"/>
        <v>8.2249999999999996</v>
      </c>
    </row>
    <row r="28" spans="1:6" ht="15" thickBot="1" x14ac:dyDescent="0.35">
      <c r="A28" s="342"/>
      <c r="B28" s="345"/>
      <c r="C28" s="248" t="s">
        <v>99</v>
      </c>
      <c r="D28" s="249">
        <v>0.5</v>
      </c>
      <c r="E28" s="277">
        <v>18.7</v>
      </c>
      <c r="F28" s="251">
        <f t="shared" si="0"/>
        <v>9.35</v>
      </c>
    </row>
    <row r="29" spans="1:6" x14ac:dyDescent="0.3">
      <c r="A29" s="340">
        <v>12</v>
      </c>
      <c r="B29" s="343" t="s">
        <v>153</v>
      </c>
      <c r="C29" s="236" t="s">
        <v>28</v>
      </c>
      <c r="D29" s="237">
        <v>0.25</v>
      </c>
      <c r="E29" s="238">
        <v>32.5</v>
      </c>
      <c r="F29" s="239">
        <f t="shared" si="0"/>
        <v>8.125</v>
      </c>
    </row>
    <row r="30" spans="1:6" ht="15" thickBot="1" x14ac:dyDescent="0.35">
      <c r="A30" s="342"/>
      <c r="B30" s="345"/>
      <c r="C30" s="248" t="s">
        <v>53</v>
      </c>
      <c r="D30" s="249">
        <v>0.5</v>
      </c>
      <c r="E30" s="246">
        <v>33.25</v>
      </c>
      <c r="F30" s="251">
        <f t="shared" si="0"/>
        <v>16.625</v>
      </c>
    </row>
    <row r="31" spans="1:6" ht="15" thickBot="1" x14ac:dyDescent="0.35">
      <c r="A31" s="280"/>
      <c r="B31" s="281"/>
      <c r="C31" s="280"/>
      <c r="D31" s="282"/>
      <c r="E31" s="283" t="s">
        <v>7</v>
      </c>
      <c r="F31" s="279">
        <f>SUM(F5:F30)</f>
        <v>221.41274999999999</v>
      </c>
    </row>
  </sheetData>
  <mergeCells count="20">
    <mergeCell ref="A1:F2"/>
    <mergeCell ref="A3:B3"/>
    <mergeCell ref="C3:F3"/>
    <mergeCell ref="A5:A9"/>
    <mergeCell ref="B5:B6"/>
    <mergeCell ref="B7:B9"/>
    <mergeCell ref="A10:A11"/>
    <mergeCell ref="B10:B11"/>
    <mergeCell ref="A26:A28"/>
    <mergeCell ref="B26:B28"/>
    <mergeCell ref="A29:A30"/>
    <mergeCell ref="B29:B30"/>
    <mergeCell ref="A12:A15"/>
    <mergeCell ref="B12:B15"/>
    <mergeCell ref="A17:A20"/>
    <mergeCell ref="B17:B20"/>
    <mergeCell ref="A21:A22"/>
    <mergeCell ref="B21:B22"/>
    <mergeCell ref="A23:A25"/>
    <mergeCell ref="B23:B25"/>
  </mergeCells>
  <pageMargins left="0.7" right="0.7" top="0.75" bottom="0.75" header="0.3" footer="0.3"/>
  <pageSetup orientation="portrait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A6F0-7875-4B87-B706-4BB89131508A}">
  <dimension ref="A1:I85"/>
  <sheetViews>
    <sheetView view="pageBreakPreview" zoomScale="60" zoomScaleNormal="100" workbookViewId="0">
      <selection activeCell="F69" sqref="F69"/>
    </sheetView>
  </sheetViews>
  <sheetFormatPr baseColWidth="10" defaultRowHeight="14.4" x14ac:dyDescent="0.3"/>
  <cols>
    <col min="1" max="1" width="11.88671875" bestFit="1" customWidth="1"/>
    <col min="4" max="4" width="53.109375" customWidth="1"/>
    <col min="5" max="5" width="11.109375" bestFit="1" customWidth="1"/>
    <col min="6" max="6" width="11.109375" customWidth="1"/>
    <col min="8" max="9" width="11.109375" bestFit="1" customWidth="1"/>
  </cols>
  <sheetData>
    <row r="1" spans="1:9" x14ac:dyDescent="0.3">
      <c r="A1" s="384" t="s">
        <v>107</v>
      </c>
      <c r="B1" s="384"/>
      <c r="C1" s="384"/>
      <c r="D1" s="384"/>
      <c r="E1" s="384"/>
      <c r="F1" s="56"/>
      <c r="G1" s="57"/>
      <c r="H1" s="57"/>
      <c r="I1" s="57"/>
    </row>
    <row r="2" spans="1:9" ht="15" thickBot="1" x14ac:dyDescent="0.35">
      <c r="A2" s="57"/>
      <c r="B2" s="57"/>
      <c r="C2" s="57"/>
      <c r="D2" s="57"/>
      <c r="E2" s="57"/>
      <c r="F2" s="57"/>
      <c r="G2" s="57"/>
      <c r="H2" s="57"/>
      <c r="I2" s="57"/>
    </row>
    <row r="3" spans="1:9" x14ac:dyDescent="0.3">
      <c r="A3" s="385" t="s">
        <v>0</v>
      </c>
      <c r="B3" s="386"/>
      <c r="C3" s="386"/>
      <c r="D3" s="386"/>
      <c r="E3" s="386"/>
      <c r="F3" s="386"/>
      <c r="G3" s="386"/>
      <c r="H3" s="386"/>
      <c r="I3" s="387"/>
    </row>
    <row r="4" spans="1:9" ht="15" thickBot="1" x14ac:dyDescent="0.35">
      <c r="A4" s="388"/>
      <c r="B4" s="389"/>
      <c r="C4" s="389"/>
      <c r="D4" s="389"/>
      <c r="E4" s="389"/>
      <c r="F4" s="389"/>
      <c r="G4" s="389"/>
      <c r="H4" s="389"/>
      <c r="I4" s="390"/>
    </row>
    <row r="5" spans="1:9" ht="25.8" thickBot="1" x14ac:dyDescent="0.35">
      <c r="A5" s="59">
        <v>45961</v>
      </c>
      <c r="B5" s="58" t="s">
        <v>1</v>
      </c>
      <c r="C5" s="60" t="s">
        <v>2</v>
      </c>
      <c r="D5" s="61" t="s">
        <v>3</v>
      </c>
      <c r="E5" s="62" t="s">
        <v>4</v>
      </c>
      <c r="F5" s="62"/>
      <c r="G5" s="62" t="s">
        <v>5</v>
      </c>
      <c r="H5" s="63" t="s">
        <v>6</v>
      </c>
      <c r="I5" s="61" t="s">
        <v>7</v>
      </c>
    </row>
    <row r="6" spans="1:9" ht="15" thickBot="1" x14ac:dyDescent="0.35">
      <c r="A6" s="64"/>
      <c r="B6" s="65"/>
      <c r="C6" s="66"/>
      <c r="D6" s="67"/>
      <c r="E6" s="68"/>
      <c r="F6" s="68"/>
      <c r="G6" s="69"/>
      <c r="H6" s="68"/>
      <c r="I6" s="69"/>
    </row>
    <row r="7" spans="1:9" ht="15" thickBot="1" x14ac:dyDescent="0.35">
      <c r="A7" s="70" t="s">
        <v>8</v>
      </c>
      <c r="B7" s="71" t="s">
        <v>9</v>
      </c>
      <c r="C7" s="72" t="s">
        <v>10</v>
      </c>
      <c r="D7" s="73" t="s">
        <v>11</v>
      </c>
      <c r="E7" s="74">
        <v>58</v>
      </c>
      <c r="F7" s="74">
        <f>E7/2</f>
        <v>29</v>
      </c>
      <c r="G7" s="74" t="s">
        <v>12</v>
      </c>
      <c r="H7" s="75">
        <v>1.4E-2</v>
      </c>
      <c r="I7" s="76">
        <v>812</v>
      </c>
    </row>
    <row r="8" spans="1:9" ht="15" thickBot="1" x14ac:dyDescent="0.35">
      <c r="A8" s="391" t="s">
        <v>18</v>
      </c>
      <c r="B8" s="77" t="s">
        <v>19</v>
      </c>
      <c r="C8" s="78" t="s">
        <v>20</v>
      </c>
      <c r="D8" s="79" t="s">
        <v>21</v>
      </c>
      <c r="E8" s="80">
        <v>1.5</v>
      </c>
      <c r="F8" s="74">
        <f t="shared" ref="F8:F71" si="0">E8/2</f>
        <v>0.75</v>
      </c>
      <c r="G8" s="80" t="s">
        <v>22</v>
      </c>
      <c r="H8" s="81">
        <v>3.4914000000000001E-2</v>
      </c>
      <c r="I8" s="82">
        <v>52.37</v>
      </c>
    </row>
    <row r="9" spans="1:9" ht="15" thickBot="1" x14ac:dyDescent="0.35">
      <c r="A9" s="392"/>
      <c r="B9" s="77" t="s">
        <v>108</v>
      </c>
      <c r="C9" s="78" t="s">
        <v>109</v>
      </c>
      <c r="D9" s="79" t="s">
        <v>110</v>
      </c>
      <c r="E9" s="80">
        <v>500</v>
      </c>
      <c r="F9" s="74">
        <f t="shared" si="0"/>
        <v>250</v>
      </c>
      <c r="G9" s="80" t="s">
        <v>22</v>
      </c>
      <c r="H9" s="81">
        <v>8.7150000000000005E-3</v>
      </c>
      <c r="I9" s="82">
        <v>4.3600000000000003</v>
      </c>
    </row>
    <row r="10" spans="1:9" ht="15" thickBot="1" x14ac:dyDescent="0.35">
      <c r="A10" s="392"/>
      <c r="B10" s="83" t="s">
        <v>19</v>
      </c>
      <c r="C10" s="84" t="s">
        <v>111</v>
      </c>
      <c r="D10" s="79" t="s">
        <v>112</v>
      </c>
      <c r="E10" s="80">
        <v>1</v>
      </c>
      <c r="F10" s="74">
        <f t="shared" si="0"/>
        <v>0.5</v>
      </c>
      <c r="G10" s="80" t="s">
        <v>22</v>
      </c>
      <c r="H10" s="81">
        <v>1.8519000000000001E-2</v>
      </c>
      <c r="I10" s="82">
        <v>18.52</v>
      </c>
    </row>
    <row r="11" spans="1:9" ht="15" thickBot="1" x14ac:dyDescent="0.35">
      <c r="A11" s="392"/>
      <c r="B11" s="77" t="s">
        <v>19</v>
      </c>
      <c r="C11" s="78" t="s">
        <v>25</v>
      </c>
      <c r="D11" s="79" t="s">
        <v>26</v>
      </c>
      <c r="E11" s="80">
        <v>600</v>
      </c>
      <c r="F11" s="74">
        <f t="shared" si="0"/>
        <v>300</v>
      </c>
      <c r="G11" s="80" t="s">
        <v>22</v>
      </c>
      <c r="H11" s="81">
        <v>7.0749999999999997E-3</v>
      </c>
      <c r="I11" s="82">
        <v>4.24</v>
      </c>
    </row>
    <row r="12" spans="1:9" ht="15" thickBot="1" x14ac:dyDescent="0.35">
      <c r="A12" s="392"/>
      <c r="B12" s="77" t="s">
        <v>19</v>
      </c>
      <c r="C12" s="78" t="s">
        <v>27</v>
      </c>
      <c r="D12" s="79" t="s">
        <v>113</v>
      </c>
      <c r="E12" s="80">
        <v>1.5</v>
      </c>
      <c r="F12" s="74">
        <f t="shared" si="0"/>
        <v>0.75</v>
      </c>
      <c r="G12" s="80" t="s">
        <v>24</v>
      </c>
      <c r="H12" s="81">
        <v>8.3000000000000001E-3</v>
      </c>
      <c r="I12" s="82">
        <v>12.45</v>
      </c>
    </row>
    <row r="13" spans="1:9" ht="15" thickBot="1" x14ac:dyDescent="0.35">
      <c r="A13" s="392"/>
      <c r="B13" s="77" t="s">
        <v>19</v>
      </c>
      <c r="C13" s="78" t="s">
        <v>31</v>
      </c>
      <c r="D13" s="79" t="s">
        <v>32</v>
      </c>
      <c r="E13" s="80">
        <v>100</v>
      </c>
      <c r="F13" s="74">
        <f t="shared" si="0"/>
        <v>50</v>
      </c>
      <c r="G13" s="80" t="s">
        <v>24</v>
      </c>
      <c r="H13" s="81">
        <v>1.0089999999999999E-3</v>
      </c>
      <c r="I13" s="82">
        <v>0.1</v>
      </c>
    </row>
    <row r="14" spans="1:9" ht="15" thickBot="1" x14ac:dyDescent="0.35">
      <c r="A14" s="393"/>
      <c r="B14" s="77" t="s">
        <v>19</v>
      </c>
      <c r="C14" s="78" t="s">
        <v>33</v>
      </c>
      <c r="D14" s="79" t="s">
        <v>34</v>
      </c>
      <c r="E14" s="80">
        <v>1</v>
      </c>
      <c r="F14" s="74">
        <f t="shared" si="0"/>
        <v>0.5</v>
      </c>
      <c r="G14" s="80" t="s">
        <v>24</v>
      </c>
      <c r="H14" s="81">
        <v>8.0960000000000008E-3</v>
      </c>
      <c r="I14" s="82">
        <v>8.1</v>
      </c>
    </row>
    <row r="15" spans="1:9" ht="15" thickBot="1" x14ac:dyDescent="0.35">
      <c r="A15" s="394" t="s">
        <v>114</v>
      </c>
      <c r="B15" s="85" t="s">
        <v>36</v>
      </c>
      <c r="C15" s="85" t="s">
        <v>37</v>
      </c>
      <c r="D15" s="86" t="s">
        <v>38</v>
      </c>
      <c r="E15" s="87">
        <f>(51*100)/33.5</f>
        <v>152.23880597014926</v>
      </c>
      <c r="F15" s="74">
        <f t="shared" si="0"/>
        <v>76.119402985074629</v>
      </c>
      <c r="G15" s="88" t="s">
        <v>39</v>
      </c>
      <c r="H15" s="89">
        <v>0.96620300000000003</v>
      </c>
      <c r="I15" s="90">
        <f>H15*E15</f>
        <v>147.09359104477613</v>
      </c>
    </row>
    <row r="16" spans="1:9" ht="15" thickBot="1" x14ac:dyDescent="0.35">
      <c r="A16" s="395"/>
      <c r="B16" s="91"/>
      <c r="C16" s="91"/>
      <c r="D16" s="92" t="s">
        <v>40</v>
      </c>
      <c r="E16" s="93">
        <f>0.2*62</f>
        <v>12.4</v>
      </c>
      <c r="F16" s="74">
        <f t="shared" si="0"/>
        <v>6.2</v>
      </c>
      <c r="G16" s="94" t="s">
        <v>17</v>
      </c>
      <c r="H16" s="94">
        <v>3</v>
      </c>
      <c r="I16" s="95">
        <f>H16*E16</f>
        <v>37.200000000000003</v>
      </c>
    </row>
    <row r="17" spans="1:9" ht="15" thickBot="1" x14ac:dyDescent="0.35">
      <c r="A17" s="395"/>
      <c r="B17" s="96"/>
      <c r="C17" s="97"/>
      <c r="D17" s="98" t="s">
        <v>41</v>
      </c>
      <c r="E17" s="99">
        <v>80</v>
      </c>
      <c r="F17" s="74">
        <f t="shared" si="0"/>
        <v>40</v>
      </c>
      <c r="G17" s="100" t="s">
        <v>39</v>
      </c>
      <c r="H17" s="100">
        <v>1</v>
      </c>
      <c r="I17" s="101">
        <f>H17*E17</f>
        <v>80</v>
      </c>
    </row>
    <row r="18" spans="1:9" ht="15" thickBot="1" x14ac:dyDescent="0.35">
      <c r="A18" s="396"/>
      <c r="B18" s="102" t="s">
        <v>36</v>
      </c>
      <c r="C18" s="103" t="s">
        <v>42</v>
      </c>
      <c r="D18" s="104" t="s">
        <v>43</v>
      </c>
      <c r="E18" s="105"/>
      <c r="F18" s="74">
        <f t="shared" si="0"/>
        <v>0</v>
      </c>
      <c r="G18" s="102"/>
      <c r="H18" s="106"/>
      <c r="I18" s="107"/>
    </row>
    <row r="19" spans="1:9" ht="15" thickBot="1" x14ac:dyDescent="0.35">
      <c r="A19" s="375" t="s">
        <v>44</v>
      </c>
      <c r="B19" s="108" t="s">
        <v>45</v>
      </c>
      <c r="C19" s="109" t="s">
        <v>46</v>
      </c>
      <c r="D19" s="79" t="s">
        <v>47</v>
      </c>
      <c r="E19" s="80">
        <v>400</v>
      </c>
      <c r="F19" s="74">
        <f t="shared" si="0"/>
        <v>200</v>
      </c>
      <c r="G19" s="80" t="s">
        <v>22</v>
      </c>
      <c r="H19" s="81">
        <v>2.9127E-2</v>
      </c>
      <c r="I19" s="82">
        <v>11.65</v>
      </c>
    </row>
    <row r="20" spans="1:9" ht="15" thickBot="1" x14ac:dyDescent="0.35">
      <c r="A20" s="376"/>
      <c r="B20" s="108" t="s">
        <v>45</v>
      </c>
      <c r="C20" s="109" t="s">
        <v>48</v>
      </c>
      <c r="D20" s="79" t="s">
        <v>49</v>
      </c>
      <c r="E20" s="80">
        <v>5</v>
      </c>
      <c r="F20" s="74">
        <f t="shared" si="0"/>
        <v>2.5</v>
      </c>
      <c r="G20" s="80" t="s">
        <v>30</v>
      </c>
      <c r="H20" s="110">
        <v>5962143</v>
      </c>
      <c r="I20" s="82">
        <v>29.81</v>
      </c>
    </row>
    <row r="21" spans="1:9" ht="15" thickBot="1" x14ac:dyDescent="0.35">
      <c r="A21" s="376"/>
      <c r="B21" s="111" t="s">
        <v>45</v>
      </c>
      <c r="C21" s="84" t="s">
        <v>111</v>
      </c>
      <c r="D21" s="79" t="s">
        <v>112</v>
      </c>
      <c r="E21" s="80">
        <v>1</v>
      </c>
      <c r="F21" s="74">
        <f t="shared" si="0"/>
        <v>0.5</v>
      </c>
      <c r="G21" s="80" t="s">
        <v>22</v>
      </c>
      <c r="H21" s="81">
        <v>1.8519000000000001E-2</v>
      </c>
      <c r="I21" s="82">
        <v>18.52</v>
      </c>
    </row>
    <row r="22" spans="1:9" ht="15" thickBot="1" x14ac:dyDescent="0.35">
      <c r="A22" s="376"/>
      <c r="B22" s="108" t="s">
        <v>45</v>
      </c>
      <c r="C22" s="84" t="s">
        <v>73</v>
      </c>
      <c r="D22" s="79" t="s">
        <v>119</v>
      </c>
      <c r="E22" s="80">
        <v>5</v>
      </c>
      <c r="F22" s="74">
        <f t="shared" si="0"/>
        <v>2.5</v>
      </c>
      <c r="G22" s="80" t="s">
        <v>39</v>
      </c>
      <c r="H22" s="81">
        <v>0.27874900000000002</v>
      </c>
      <c r="I22" s="82">
        <v>1.39</v>
      </c>
    </row>
    <row r="23" spans="1:9" ht="15" thickBot="1" x14ac:dyDescent="0.35">
      <c r="A23" s="376"/>
      <c r="B23" s="108" t="s">
        <v>45</v>
      </c>
      <c r="C23" s="84" t="s">
        <v>54</v>
      </c>
      <c r="D23" s="79" t="s">
        <v>55</v>
      </c>
      <c r="E23" s="80">
        <v>750</v>
      </c>
      <c r="F23" s="74">
        <f t="shared" si="0"/>
        <v>375</v>
      </c>
      <c r="G23" s="80" t="s">
        <v>22</v>
      </c>
      <c r="H23" s="81">
        <v>1.8568999999999999E-2</v>
      </c>
      <c r="I23" s="82">
        <v>13.93</v>
      </c>
    </row>
    <row r="24" spans="1:9" ht="15" thickBot="1" x14ac:dyDescent="0.35">
      <c r="A24" s="377"/>
      <c r="B24" s="108" t="s">
        <v>45</v>
      </c>
      <c r="C24" s="84" t="s">
        <v>33</v>
      </c>
      <c r="D24" s="79" t="s">
        <v>34</v>
      </c>
      <c r="E24" s="80">
        <v>1</v>
      </c>
      <c r="F24" s="74">
        <f t="shared" si="0"/>
        <v>0.5</v>
      </c>
      <c r="G24" s="80" t="s">
        <v>24</v>
      </c>
      <c r="H24" s="81">
        <v>8.0960000000000008E-3</v>
      </c>
      <c r="I24" s="82">
        <v>8.1</v>
      </c>
    </row>
    <row r="25" spans="1:9" ht="15" thickBot="1" x14ac:dyDescent="0.35">
      <c r="A25" s="381" t="s">
        <v>120</v>
      </c>
      <c r="B25" s="108" t="s">
        <v>52</v>
      </c>
      <c r="C25" s="78" t="s">
        <v>25</v>
      </c>
      <c r="D25" s="79" t="s">
        <v>26</v>
      </c>
      <c r="E25" s="80">
        <v>600</v>
      </c>
      <c r="F25" s="74">
        <f t="shared" si="0"/>
        <v>300</v>
      </c>
      <c r="G25" s="80" t="s">
        <v>22</v>
      </c>
      <c r="H25" s="81">
        <v>7.0749999999999997E-3</v>
      </c>
      <c r="I25" s="82">
        <v>4.24</v>
      </c>
    </row>
    <row r="26" spans="1:9" ht="15" thickBot="1" x14ac:dyDescent="0.35">
      <c r="A26" s="382"/>
      <c r="B26" s="108" t="s">
        <v>52</v>
      </c>
      <c r="C26" s="109" t="s">
        <v>27</v>
      </c>
      <c r="D26" s="79" t="s">
        <v>113</v>
      </c>
      <c r="E26" s="80">
        <v>1.5</v>
      </c>
      <c r="F26" s="74">
        <f t="shared" si="0"/>
        <v>0.75</v>
      </c>
      <c r="G26" s="80" t="s">
        <v>24</v>
      </c>
      <c r="H26" s="81">
        <v>8.3000000000000001E-3</v>
      </c>
      <c r="I26" s="82">
        <v>12.45</v>
      </c>
    </row>
    <row r="27" spans="1:9" ht="15" thickBot="1" x14ac:dyDescent="0.35">
      <c r="A27" s="382"/>
      <c r="B27" s="111" t="s">
        <v>52</v>
      </c>
      <c r="C27" s="84" t="s">
        <v>121</v>
      </c>
      <c r="D27" s="79" t="s">
        <v>122</v>
      </c>
      <c r="E27" s="80">
        <v>1</v>
      </c>
      <c r="F27" s="74">
        <f t="shared" si="0"/>
        <v>0.5</v>
      </c>
      <c r="G27" s="80" t="s">
        <v>22</v>
      </c>
      <c r="H27" s="81">
        <v>1.0432E-2</v>
      </c>
      <c r="I27" s="82">
        <v>10.43</v>
      </c>
    </row>
    <row r="28" spans="1:9" ht="15" thickBot="1" x14ac:dyDescent="0.35">
      <c r="A28" s="382"/>
      <c r="B28" s="111" t="s">
        <v>52</v>
      </c>
      <c r="C28" s="84" t="s">
        <v>54</v>
      </c>
      <c r="D28" s="79" t="s">
        <v>55</v>
      </c>
      <c r="E28" s="80">
        <v>500</v>
      </c>
      <c r="F28" s="74">
        <f t="shared" si="0"/>
        <v>250</v>
      </c>
      <c r="G28" s="80" t="s">
        <v>22</v>
      </c>
      <c r="H28" s="81">
        <v>1.8568999999999999E-2</v>
      </c>
      <c r="I28" s="82">
        <v>9.2799999999999994</v>
      </c>
    </row>
    <row r="29" spans="1:9" ht="15" thickBot="1" x14ac:dyDescent="0.35">
      <c r="A29" s="382"/>
      <c r="B29" s="108" t="s">
        <v>52</v>
      </c>
      <c r="C29" s="109" t="s">
        <v>33</v>
      </c>
      <c r="D29" s="79" t="s">
        <v>34</v>
      </c>
      <c r="E29" s="80">
        <v>1</v>
      </c>
      <c r="F29" s="74">
        <f t="shared" si="0"/>
        <v>0.5</v>
      </c>
      <c r="G29" s="80" t="s">
        <v>24</v>
      </c>
      <c r="H29" s="81">
        <v>8.0960000000000008E-3</v>
      </c>
      <c r="I29" s="82">
        <v>8.1</v>
      </c>
    </row>
    <row r="30" spans="1:9" ht="15" thickBot="1" x14ac:dyDescent="0.35">
      <c r="A30" s="383"/>
      <c r="B30" s="112" t="s">
        <v>52</v>
      </c>
      <c r="C30" s="109" t="s">
        <v>56</v>
      </c>
      <c r="D30" s="79" t="s">
        <v>57</v>
      </c>
      <c r="E30" s="80">
        <v>180</v>
      </c>
      <c r="F30" s="74">
        <f t="shared" si="0"/>
        <v>90</v>
      </c>
      <c r="G30" s="80" t="s">
        <v>22</v>
      </c>
      <c r="H30" s="81">
        <v>2.2055999999999999E-2</v>
      </c>
      <c r="I30" s="82">
        <v>3.97</v>
      </c>
    </row>
    <row r="31" spans="1:9" ht="15" customHeight="1" thickBot="1" x14ac:dyDescent="0.35">
      <c r="A31" s="369" t="s">
        <v>58</v>
      </c>
      <c r="B31" s="113" t="s">
        <v>59</v>
      </c>
      <c r="C31" s="113" t="s">
        <v>60</v>
      </c>
      <c r="D31" s="114" t="s">
        <v>61</v>
      </c>
      <c r="E31" s="115"/>
      <c r="F31" s="74">
        <f t="shared" si="0"/>
        <v>0</v>
      </c>
      <c r="G31" s="116" t="s">
        <v>39</v>
      </c>
      <c r="H31" s="117">
        <v>1271454</v>
      </c>
      <c r="I31" s="118"/>
    </row>
    <row r="32" spans="1:9" ht="15" thickBot="1" x14ac:dyDescent="0.35">
      <c r="A32" s="370"/>
      <c r="B32" s="119" t="s">
        <v>59</v>
      </c>
      <c r="C32" s="119" t="s">
        <v>62</v>
      </c>
      <c r="D32" s="92" t="s">
        <v>38</v>
      </c>
      <c r="E32" s="93">
        <f>(77*100)/33.5</f>
        <v>229.85074626865671</v>
      </c>
      <c r="F32" s="74">
        <f t="shared" si="0"/>
        <v>114.92537313432835</v>
      </c>
      <c r="G32" s="94" t="s">
        <v>39</v>
      </c>
      <c r="H32" s="120">
        <v>0.42920399999999997</v>
      </c>
      <c r="I32" s="95">
        <f>H32*E32</f>
        <v>98.652859701492531</v>
      </c>
    </row>
    <row r="33" spans="1:9" ht="15" thickBot="1" x14ac:dyDescent="0.35">
      <c r="A33" s="370"/>
      <c r="B33" s="121" t="s">
        <v>59</v>
      </c>
      <c r="C33" s="121" t="s">
        <v>37</v>
      </c>
      <c r="D33" s="122" t="s">
        <v>63</v>
      </c>
      <c r="E33" s="123"/>
      <c r="F33" s="74">
        <f t="shared" si="0"/>
        <v>0</v>
      </c>
      <c r="G33" s="124" t="s">
        <v>39</v>
      </c>
      <c r="H33" s="125">
        <v>0.96620300000000003</v>
      </c>
      <c r="I33" s="126">
        <f t="shared" ref="I33:I36" si="1">H33*E33</f>
        <v>0</v>
      </c>
    </row>
    <row r="34" spans="1:9" ht="15" thickBot="1" x14ac:dyDescent="0.35">
      <c r="A34" s="370"/>
      <c r="B34" s="121" t="s">
        <v>59</v>
      </c>
      <c r="C34" s="121" t="s">
        <v>64</v>
      </c>
      <c r="D34" s="122" t="s">
        <v>65</v>
      </c>
      <c r="E34" s="123"/>
      <c r="F34" s="74">
        <f t="shared" si="0"/>
        <v>0</v>
      </c>
      <c r="G34" s="124" t="s">
        <v>39</v>
      </c>
      <c r="H34" s="125">
        <v>0.76831099999999997</v>
      </c>
      <c r="I34" s="126">
        <f t="shared" si="1"/>
        <v>0</v>
      </c>
    </row>
    <row r="35" spans="1:9" ht="15" thickBot="1" x14ac:dyDescent="0.35">
      <c r="A35" s="370"/>
      <c r="B35" s="121" t="s">
        <v>59</v>
      </c>
      <c r="C35" s="121" t="s">
        <v>66</v>
      </c>
      <c r="D35" s="122" t="s">
        <v>67</v>
      </c>
      <c r="E35" s="123"/>
      <c r="F35" s="74">
        <f t="shared" si="0"/>
        <v>0</v>
      </c>
      <c r="G35" s="124" t="s">
        <v>39</v>
      </c>
      <c r="H35" s="125">
        <v>0.414273</v>
      </c>
      <c r="I35" s="126">
        <f t="shared" si="1"/>
        <v>0</v>
      </c>
    </row>
    <row r="36" spans="1:9" ht="15" thickBot="1" x14ac:dyDescent="0.35">
      <c r="A36" s="370"/>
      <c r="B36" s="127"/>
      <c r="C36" s="127"/>
      <c r="D36" s="128" t="s">
        <v>41</v>
      </c>
      <c r="E36" s="129">
        <v>64</v>
      </c>
      <c r="F36" s="74">
        <f t="shared" si="0"/>
        <v>32</v>
      </c>
      <c r="G36" s="130" t="s">
        <v>39</v>
      </c>
      <c r="H36" s="131">
        <v>1</v>
      </c>
      <c r="I36" s="101">
        <f t="shared" si="1"/>
        <v>64</v>
      </c>
    </row>
    <row r="37" spans="1:9" ht="15" thickBot="1" x14ac:dyDescent="0.35">
      <c r="A37" s="370"/>
      <c r="B37" s="119"/>
      <c r="C37" s="132"/>
      <c r="D37" s="92" t="s">
        <v>40</v>
      </c>
      <c r="E37" s="133">
        <f>0.5*62</f>
        <v>31</v>
      </c>
      <c r="F37" s="74">
        <f t="shared" si="0"/>
        <v>15.5</v>
      </c>
      <c r="G37" s="94" t="s">
        <v>17</v>
      </c>
      <c r="H37" s="94">
        <v>3</v>
      </c>
      <c r="I37" s="95">
        <f>H37*E37</f>
        <v>93</v>
      </c>
    </row>
    <row r="38" spans="1:9" ht="15" thickBot="1" x14ac:dyDescent="0.35">
      <c r="A38" s="371"/>
      <c r="B38" s="103" t="s">
        <v>59</v>
      </c>
      <c r="C38" s="103" t="s">
        <v>68</v>
      </c>
      <c r="D38" s="104" t="s">
        <v>69</v>
      </c>
      <c r="E38" s="105"/>
      <c r="F38" s="74">
        <f t="shared" si="0"/>
        <v>0</v>
      </c>
      <c r="G38" s="102" t="s">
        <v>39</v>
      </c>
      <c r="H38" s="106">
        <v>0.86401399999999995</v>
      </c>
      <c r="I38" s="107"/>
    </row>
    <row r="39" spans="1:9" ht="15" thickBot="1" x14ac:dyDescent="0.35">
      <c r="A39" s="372" t="s">
        <v>123</v>
      </c>
      <c r="B39" s="134" t="s">
        <v>71</v>
      </c>
      <c r="C39" s="135" t="s">
        <v>48</v>
      </c>
      <c r="D39" s="73" t="s">
        <v>72</v>
      </c>
      <c r="E39" s="74">
        <v>5</v>
      </c>
      <c r="F39" s="74">
        <f t="shared" si="0"/>
        <v>2.5</v>
      </c>
      <c r="G39" s="74" t="s">
        <v>30</v>
      </c>
      <c r="H39" s="136">
        <v>5962143</v>
      </c>
      <c r="I39" s="76">
        <v>29.81</v>
      </c>
    </row>
    <row r="40" spans="1:9" ht="15" thickBot="1" x14ac:dyDescent="0.35">
      <c r="A40" s="373"/>
      <c r="B40" s="108" t="s">
        <v>71</v>
      </c>
      <c r="C40" s="109" t="s">
        <v>111</v>
      </c>
      <c r="D40" s="79" t="s">
        <v>112</v>
      </c>
      <c r="E40" s="80">
        <v>500</v>
      </c>
      <c r="F40" s="74">
        <f t="shared" si="0"/>
        <v>250</v>
      </c>
      <c r="G40" s="80" t="s">
        <v>22</v>
      </c>
      <c r="H40" s="81">
        <v>1.8519000000000001E-2</v>
      </c>
      <c r="I40" s="82">
        <v>9.26</v>
      </c>
    </row>
    <row r="41" spans="1:9" ht="15" thickBot="1" x14ac:dyDescent="0.35">
      <c r="A41" s="373"/>
      <c r="B41" s="108" t="s">
        <v>71</v>
      </c>
      <c r="C41" s="109" t="s">
        <v>73</v>
      </c>
      <c r="D41" s="79" t="s">
        <v>119</v>
      </c>
      <c r="E41" s="80">
        <v>5</v>
      </c>
      <c r="F41" s="74">
        <f t="shared" si="0"/>
        <v>2.5</v>
      </c>
      <c r="G41" s="80" t="s">
        <v>39</v>
      </c>
      <c r="H41" s="81">
        <v>0.27874900000000002</v>
      </c>
      <c r="I41" s="82">
        <v>1.39</v>
      </c>
    </row>
    <row r="42" spans="1:9" ht="15" thickBot="1" x14ac:dyDescent="0.35">
      <c r="A42" s="373"/>
      <c r="B42" s="108" t="s">
        <v>71</v>
      </c>
      <c r="C42" s="109" t="s">
        <v>33</v>
      </c>
      <c r="D42" s="79" t="s">
        <v>34</v>
      </c>
      <c r="E42" s="80">
        <v>1</v>
      </c>
      <c r="F42" s="74">
        <f t="shared" si="0"/>
        <v>0.5</v>
      </c>
      <c r="G42" s="80" t="s">
        <v>24</v>
      </c>
      <c r="H42" s="81">
        <v>8.0960000000000008E-3</v>
      </c>
      <c r="I42" s="82">
        <v>8.1</v>
      </c>
    </row>
    <row r="43" spans="1:9" ht="15" thickBot="1" x14ac:dyDescent="0.35">
      <c r="A43" s="374"/>
      <c r="B43" s="108" t="s">
        <v>71</v>
      </c>
      <c r="C43" s="109" t="s">
        <v>56</v>
      </c>
      <c r="D43" s="79" t="s">
        <v>57</v>
      </c>
      <c r="E43" s="80">
        <v>180</v>
      </c>
      <c r="F43" s="74">
        <f t="shared" si="0"/>
        <v>90</v>
      </c>
      <c r="G43" s="80" t="s">
        <v>22</v>
      </c>
      <c r="H43" s="81">
        <v>2.2055999999999999E-2</v>
      </c>
      <c r="I43" s="82">
        <v>3.97</v>
      </c>
    </row>
    <row r="44" spans="1:9" ht="15" thickBot="1" x14ac:dyDescent="0.35">
      <c r="A44" s="362" t="s">
        <v>124</v>
      </c>
      <c r="B44" s="108" t="s">
        <v>75</v>
      </c>
      <c r="C44" s="84" t="s">
        <v>76</v>
      </c>
      <c r="D44" s="79" t="s">
        <v>77</v>
      </c>
      <c r="E44" s="80">
        <v>400</v>
      </c>
      <c r="F44" s="74">
        <f t="shared" si="0"/>
        <v>200</v>
      </c>
      <c r="G44" s="80" t="s">
        <v>24</v>
      </c>
      <c r="H44" s="81">
        <v>3.925E-2</v>
      </c>
      <c r="I44" s="82">
        <v>15.7</v>
      </c>
    </row>
    <row r="45" spans="1:9" ht="15" thickBot="1" x14ac:dyDescent="0.35">
      <c r="A45" s="363"/>
      <c r="B45" s="108" t="s">
        <v>75</v>
      </c>
      <c r="C45" s="84" t="s">
        <v>78</v>
      </c>
      <c r="D45" s="79" t="s">
        <v>79</v>
      </c>
      <c r="E45" s="80">
        <v>1</v>
      </c>
      <c r="F45" s="74">
        <f t="shared" si="0"/>
        <v>0.5</v>
      </c>
      <c r="G45" s="80" t="s">
        <v>24</v>
      </c>
      <c r="H45" s="81">
        <v>1.6379999999999999E-2</v>
      </c>
      <c r="I45" s="82">
        <v>16.38</v>
      </c>
    </row>
    <row r="46" spans="1:9" ht="15" thickBot="1" x14ac:dyDescent="0.35">
      <c r="A46" s="363"/>
      <c r="B46" s="108" t="s">
        <v>75</v>
      </c>
      <c r="C46" s="84" t="s">
        <v>125</v>
      </c>
      <c r="D46" s="79" t="s">
        <v>126</v>
      </c>
      <c r="E46" s="80">
        <v>500</v>
      </c>
      <c r="F46" s="74">
        <f t="shared" si="0"/>
        <v>250</v>
      </c>
      <c r="G46" s="80" t="s">
        <v>22</v>
      </c>
      <c r="H46" s="81">
        <v>1.9295E-2</v>
      </c>
      <c r="I46" s="82">
        <v>9.65</v>
      </c>
    </row>
    <row r="47" spans="1:9" ht="15" thickBot="1" x14ac:dyDescent="0.35">
      <c r="A47" s="363"/>
      <c r="B47" s="108" t="s">
        <v>75</v>
      </c>
      <c r="C47" s="84" t="s">
        <v>127</v>
      </c>
      <c r="D47" s="79" t="s">
        <v>128</v>
      </c>
      <c r="E47" s="80">
        <v>250</v>
      </c>
      <c r="F47" s="74">
        <f t="shared" si="0"/>
        <v>125</v>
      </c>
      <c r="G47" s="80" t="s">
        <v>22</v>
      </c>
      <c r="H47" s="81">
        <v>1.8586999999999999E-2</v>
      </c>
      <c r="I47" s="82">
        <v>4.6500000000000004</v>
      </c>
    </row>
    <row r="48" spans="1:9" ht="15" thickBot="1" x14ac:dyDescent="0.35">
      <c r="A48" s="363"/>
      <c r="B48" s="108" t="s">
        <v>75</v>
      </c>
      <c r="C48" s="84" t="s">
        <v>121</v>
      </c>
      <c r="D48" s="79" t="s">
        <v>122</v>
      </c>
      <c r="E48" s="80">
        <v>500</v>
      </c>
      <c r="F48" s="74">
        <f t="shared" si="0"/>
        <v>250</v>
      </c>
      <c r="G48" s="80" t="s">
        <v>22</v>
      </c>
      <c r="H48" s="81">
        <v>1.0432E-2</v>
      </c>
      <c r="I48" s="82">
        <v>5.22</v>
      </c>
    </row>
    <row r="49" spans="1:9" ht="15" thickBot="1" x14ac:dyDescent="0.35">
      <c r="A49" s="363"/>
      <c r="B49" s="108" t="s">
        <v>75</v>
      </c>
      <c r="C49" s="84" t="s">
        <v>33</v>
      </c>
      <c r="D49" s="79" t="s">
        <v>34</v>
      </c>
      <c r="E49" s="80">
        <v>1</v>
      </c>
      <c r="F49" s="74">
        <f t="shared" si="0"/>
        <v>0.5</v>
      </c>
      <c r="G49" s="80" t="s">
        <v>24</v>
      </c>
      <c r="H49" s="81">
        <v>8.0960000000000008E-3</v>
      </c>
      <c r="I49" s="82">
        <v>8.1</v>
      </c>
    </row>
    <row r="50" spans="1:9" ht="15" thickBot="1" x14ac:dyDescent="0.35">
      <c r="A50" s="364"/>
      <c r="B50" s="108" t="s">
        <v>75</v>
      </c>
      <c r="C50" s="109" t="s">
        <v>56</v>
      </c>
      <c r="D50" s="79" t="s">
        <v>57</v>
      </c>
      <c r="E50" s="80">
        <v>180</v>
      </c>
      <c r="F50" s="74">
        <f t="shared" si="0"/>
        <v>90</v>
      </c>
      <c r="G50" s="80" t="s">
        <v>22</v>
      </c>
      <c r="H50" s="81">
        <v>2.2055999999999999E-2</v>
      </c>
      <c r="I50" s="82">
        <v>3.97</v>
      </c>
    </row>
    <row r="51" spans="1:9" ht="15" thickBot="1" x14ac:dyDescent="0.35">
      <c r="A51" s="372" t="s">
        <v>80</v>
      </c>
      <c r="B51" s="113" t="s">
        <v>81</v>
      </c>
      <c r="C51" s="113" t="s">
        <v>60</v>
      </c>
      <c r="D51" s="114" t="s">
        <v>61</v>
      </c>
      <c r="E51" s="115"/>
      <c r="F51" s="74">
        <f t="shared" si="0"/>
        <v>0</v>
      </c>
      <c r="G51" s="116" t="s">
        <v>39</v>
      </c>
      <c r="H51" s="117">
        <v>1271454</v>
      </c>
      <c r="I51" s="118"/>
    </row>
    <row r="52" spans="1:9" ht="15" thickBot="1" x14ac:dyDescent="0.35">
      <c r="A52" s="373"/>
      <c r="B52" s="119" t="s">
        <v>81</v>
      </c>
      <c r="C52" s="132" t="s">
        <v>62</v>
      </c>
      <c r="D52" s="92" t="s">
        <v>38</v>
      </c>
      <c r="E52" s="93">
        <f>(43*100)/33.5</f>
        <v>128.35820895522389</v>
      </c>
      <c r="F52" s="74">
        <f t="shared" si="0"/>
        <v>64.179104477611943</v>
      </c>
      <c r="G52" s="94" t="s">
        <v>39</v>
      </c>
      <c r="H52" s="120">
        <v>0.42920399999999997</v>
      </c>
      <c r="I52" s="95">
        <f>H52*E52</f>
        <v>55.091856716417908</v>
      </c>
    </row>
    <row r="53" spans="1:9" ht="15" thickBot="1" x14ac:dyDescent="0.35">
      <c r="A53" s="373"/>
      <c r="B53" s="121" t="s">
        <v>81</v>
      </c>
      <c r="C53" s="137" t="s">
        <v>64</v>
      </c>
      <c r="D53" s="138" t="s">
        <v>65</v>
      </c>
      <c r="E53" s="139"/>
      <c r="F53" s="74">
        <f t="shared" si="0"/>
        <v>0</v>
      </c>
      <c r="G53" s="139" t="s">
        <v>39</v>
      </c>
      <c r="H53" s="140">
        <v>0.76831099999999997</v>
      </c>
      <c r="I53" s="141">
        <f t="shared" ref="I53:I54" si="2">H53*E53</f>
        <v>0</v>
      </c>
    </row>
    <row r="54" spans="1:9" ht="15" thickBot="1" x14ac:dyDescent="0.35">
      <c r="A54" s="373"/>
      <c r="B54" s="121" t="s">
        <v>81</v>
      </c>
      <c r="C54" s="137" t="s">
        <v>42</v>
      </c>
      <c r="D54" s="138" t="s">
        <v>43</v>
      </c>
      <c r="E54" s="139"/>
      <c r="F54" s="74">
        <f t="shared" si="0"/>
        <v>0</v>
      </c>
      <c r="G54" s="139" t="s">
        <v>39</v>
      </c>
      <c r="H54" s="140">
        <v>0.987286</v>
      </c>
      <c r="I54" s="141">
        <f t="shared" si="2"/>
        <v>0</v>
      </c>
    </row>
    <row r="55" spans="1:9" ht="15" thickBot="1" x14ac:dyDescent="0.35">
      <c r="A55" s="373"/>
      <c r="B55" s="142"/>
      <c r="C55" s="143"/>
      <c r="D55" s="98" t="s">
        <v>41</v>
      </c>
      <c r="E55" s="100">
        <v>16</v>
      </c>
      <c r="F55" s="74">
        <f t="shared" si="0"/>
        <v>8</v>
      </c>
      <c r="G55" s="100" t="s">
        <v>39</v>
      </c>
      <c r="H55" s="144">
        <v>1</v>
      </c>
      <c r="I55" s="101">
        <f>H55*E55</f>
        <v>16</v>
      </c>
    </row>
    <row r="56" spans="1:9" ht="15" thickBot="1" x14ac:dyDescent="0.35">
      <c r="A56" s="373"/>
      <c r="B56" s="119"/>
      <c r="C56" s="132"/>
      <c r="D56" s="92" t="s">
        <v>40</v>
      </c>
      <c r="E56" s="133">
        <f>0.3*62</f>
        <v>18.599999999999998</v>
      </c>
      <c r="F56" s="74">
        <f t="shared" si="0"/>
        <v>9.2999999999999989</v>
      </c>
      <c r="G56" s="94" t="s">
        <v>39</v>
      </c>
      <c r="H56" s="120">
        <v>3</v>
      </c>
      <c r="I56" s="95">
        <f>H56*E56</f>
        <v>55.8</v>
      </c>
    </row>
    <row r="57" spans="1:9" ht="15" thickBot="1" x14ac:dyDescent="0.35">
      <c r="A57" s="373"/>
      <c r="B57" s="145" t="s">
        <v>81</v>
      </c>
      <c r="C57" s="146" t="s">
        <v>68</v>
      </c>
      <c r="D57" s="147" t="s">
        <v>69</v>
      </c>
      <c r="E57" s="148">
        <v>100</v>
      </c>
      <c r="F57" s="74">
        <f t="shared" si="0"/>
        <v>50</v>
      </c>
      <c r="G57" s="149" t="s">
        <v>39</v>
      </c>
      <c r="H57" s="150">
        <v>0.86401399999999995</v>
      </c>
      <c r="I57" s="151">
        <f>H57*E57</f>
        <v>86.401399999999995</v>
      </c>
    </row>
    <row r="58" spans="1:9" ht="15" thickBot="1" x14ac:dyDescent="0.35">
      <c r="A58" s="375" t="s">
        <v>129</v>
      </c>
      <c r="B58" s="108" t="s">
        <v>83</v>
      </c>
      <c r="C58" s="109" t="s">
        <v>84</v>
      </c>
      <c r="D58" s="79" t="s">
        <v>85</v>
      </c>
      <c r="E58" s="80">
        <v>400</v>
      </c>
      <c r="F58" s="74">
        <f t="shared" si="0"/>
        <v>200</v>
      </c>
      <c r="G58" s="80" t="s">
        <v>22</v>
      </c>
      <c r="H58" s="81">
        <v>5.5442999999999999E-2</v>
      </c>
      <c r="I58" s="82">
        <v>22.18</v>
      </c>
    </row>
    <row r="59" spans="1:9" ht="15" thickBot="1" x14ac:dyDescent="0.35">
      <c r="A59" s="376"/>
      <c r="B59" s="108" t="s">
        <v>83</v>
      </c>
      <c r="C59" s="109" t="s">
        <v>86</v>
      </c>
      <c r="D59" s="79" t="s">
        <v>87</v>
      </c>
      <c r="E59" s="80">
        <v>400</v>
      </c>
      <c r="F59" s="74">
        <f t="shared" si="0"/>
        <v>200</v>
      </c>
      <c r="G59" s="80" t="s">
        <v>22</v>
      </c>
      <c r="H59" s="81">
        <v>2.4820999999999999E-2</v>
      </c>
      <c r="I59" s="82">
        <v>9.93</v>
      </c>
    </row>
    <row r="60" spans="1:9" ht="15" thickBot="1" x14ac:dyDescent="0.35">
      <c r="A60" s="376"/>
      <c r="B60" s="108" t="s">
        <v>83</v>
      </c>
      <c r="C60" s="84" t="s">
        <v>88</v>
      </c>
      <c r="D60" s="79" t="s">
        <v>89</v>
      </c>
      <c r="E60" s="80">
        <v>300</v>
      </c>
      <c r="F60" s="74">
        <f t="shared" si="0"/>
        <v>150</v>
      </c>
      <c r="G60" s="80" t="s">
        <v>22</v>
      </c>
      <c r="H60" s="81">
        <v>7.1400000000000005E-2</v>
      </c>
      <c r="I60" s="82">
        <v>21.42</v>
      </c>
    </row>
    <row r="61" spans="1:9" ht="15" thickBot="1" x14ac:dyDescent="0.35">
      <c r="A61" s="376"/>
      <c r="B61" s="108" t="s">
        <v>83</v>
      </c>
      <c r="C61" s="84" t="s">
        <v>130</v>
      </c>
      <c r="D61" s="79" t="s">
        <v>131</v>
      </c>
      <c r="E61" s="80">
        <v>500</v>
      </c>
      <c r="F61" s="74">
        <f t="shared" si="0"/>
        <v>250</v>
      </c>
      <c r="G61" s="80" t="s">
        <v>22</v>
      </c>
      <c r="H61" s="81">
        <v>1.8598E-2</v>
      </c>
      <c r="I61" s="82">
        <v>9.3000000000000007</v>
      </c>
    </row>
    <row r="62" spans="1:9" ht="15" thickBot="1" x14ac:dyDescent="0.35">
      <c r="A62" s="376"/>
      <c r="B62" s="108" t="s">
        <v>83</v>
      </c>
      <c r="C62" s="84" t="s">
        <v>132</v>
      </c>
      <c r="D62" s="79" t="s">
        <v>133</v>
      </c>
      <c r="E62" s="80">
        <v>600</v>
      </c>
      <c r="F62" s="74">
        <f t="shared" si="0"/>
        <v>300</v>
      </c>
      <c r="G62" s="80" t="s">
        <v>22</v>
      </c>
      <c r="H62" s="81">
        <v>1.9413E-2</v>
      </c>
      <c r="I62" s="82">
        <v>11.65</v>
      </c>
    </row>
    <row r="63" spans="1:9" ht="15" thickBot="1" x14ac:dyDescent="0.35">
      <c r="A63" s="376"/>
      <c r="B63" s="108" t="s">
        <v>83</v>
      </c>
      <c r="C63" s="109" t="s">
        <v>33</v>
      </c>
      <c r="D63" s="79" t="s">
        <v>34</v>
      </c>
      <c r="E63" s="80">
        <v>1</v>
      </c>
      <c r="F63" s="74">
        <f t="shared" si="0"/>
        <v>0.5</v>
      </c>
      <c r="G63" s="80" t="s">
        <v>24</v>
      </c>
      <c r="H63" s="81">
        <v>8.0960000000000008E-3</v>
      </c>
      <c r="I63" s="82">
        <v>8.1</v>
      </c>
    </row>
    <row r="64" spans="1:9" ht="15" thickBot="1" x14ac:dyDescent="0.35">
      <c r="A64" s="377"/>
      <c r="B64" s="108" t="s">
        <v>83</v>
      </c>
      <c r="C64" s="109" t="s">
        <v>56</v>
      </c>
      <c r="D64" s="79" t="s">
        <v>57</v>
      </c>
      <c r="E64" s="80">
        <v>180</v>
      </c>
      <c r="F64" s="74">
        <f t="shared" si="0"/>
        <v>90</v>
      </c>
      <c r="G64" s="80" t="s">
        <v>22</v>
      </c>
      <c r="H64" s="81">
        <v>2.2055999999999999E-2</v>
      </c>
      <c r="I64" s="82">
        <v>3.97</v>
      </c>
    </row>
    <row r="65" spans="1:9" ht="15" thickBot="1" x14ac:dyDescent="0.35">
      <c r="A65" s="378" t="s">
        <v>91</v>
      </c>
      <c r="B65" s="113" t="s">
        <v>92</v>
      </c>
      <c r="C65" s="113" t="s">
        <v>64</v>
      </c>
      <c r="D65" s="114" t="s">
        <v>65</v>
      </c>
      <c r="E65" s="115">
        <v>0</v>
      </c>
      <c r="F65" s="74">
        <f t="shared" si="0"/>
        <v>0</v>
      </c>
      <c r="G65" s="116" t="s">
        <v>39</v>
      </c>
      <c r="H65" s="152">
        <v>0.76831099999999997</v>
      </c>
      <c r="I65" s="118"/>
    </row>
    <row r="66" spans="1:9" ht="15" thickBot="1" x14ac:dyDescent="0.35">
      <c r="A66" s="379"/>
      <c r="B66" s="119" t="s">
        <v>92</v>
      </c>
      <c r="C66" s="119" t="s">
        <v>62</v>
      </c>
      <c r="D66" s="92" t="s">
        <v>38</v>
      </c>
      <c r="E66" s="133"/>
      <c r="F66" s="74">
        <f t="shared" si="0"/>
        <v>0</v>
      </c>
      <c r="G66" s="94" t="s">
        <v>39</v>
      </c>
      <c r="H66" s="120">
        <v>0.42920399999999997</v>
      </c>
      <c r="I66" s="95">
        <f>H66*E66</f>
        <v>0</v>
      </c>
    </row>
    <row r="67" spans="1:9" ht="15" thickBot="1" x14ac:dyDescent="0.35">
      <c r="A67" s="380"/>
      <c r="B67" s="103" t="s">
        <v>92</v>
      </c>
      <c r="C67" s="103" t="s">
        <v>42</v>
      </c>
      <c r="D67" s="104" t="s">
        <v>43</v>
      </c>
      <c r="E67" s="105">
        <v>0</v>
      </c>
      <c r="F67" s="74">
        <f t="shared" si="0"/>
        <v>0</v>
      </c>
      <c r="G67" s="102" t="s">
        <v>39</v>
      </c>
      <c r="H67" s="106">
        <v>0.987286</v>
      </c>
      <c r="I67" s="107"/>
    </row>
    <row r="68" spans="1:9" ht="15" thickBot="1" x14ac:dyDescent="0.35">
      <c r="A68" s="362" t="s">
        <v>134</v>
      </c>
      <c r="B68" s="108" t="s">
        <v>94</v>
      </c>
      <c r="C68" s="109" t="s">
        <v>95</v>
      </c>
      <c r="D68" s="79" t="s">
        <v>96</v>
      </c>
      <c r="E68" s="80">
        <v>100</v>
      </c>
      <c r="F68" s="74">
        <f t="shared" si="0"/>
        <v>50</v>
      </c>
      <c r="G68" s="80" t="s">
        <v>22</v>
      </c>
      <c r="H68" s="81">
        <v>0.113652</v>
      </c>
      <c r="I68" s="82">
        <v>11.37</v>
      </c>
    </row>
    <row r="69" spans="1:9" ht="15" thickBot="1" x14ac:dyDescent="0.35">
      <c r="A69" s="363"/>
      <c r="B69" s="108" t="s">
        <v>94</v>
      </c>
      <c r="C69" s="109" t="s">
        <v>97</v>
      </c>
      <c r="D69" s="79" t="s">
        <v>98</v>
      </c>
      <c r="E69" s="80">
        <v>200</v>
      </c>
      <c r="F69" s="74">
        <f t="shared" si="0"/>
        <v>100</v>
      </c>
      <c r="G69" s="80" t="s">
        <v>22</v>
      </c>
      <c r="H69" s="81">
        <v>0.123683</v>
      </c>
      <c r="I69" s="82">
        <v>24.74</v>
      </c>
    </row>
    <row r="70" spans="1:9" ht="15" thickBot="1" x14ac:dyDescent="0.35">
      <c r="A70" s="363"/>
      <c r="B70" s="108" t="s">
        <v>94</v>
      </c>
      <c r="C70" s="84" t="s">
        <v>135</v>
      </c>
      <c r="D70" s="79" t="s">
        <v>136</v>
      </c>
      <c r="E70" s="80">
        <v>1</v>
      </c>
      <c r="F70" s="74">
        <f t="shared" si="0"/>
        <v>0.5</v>
      </c>
      <c r="G70" s="80" t="s">
        <v>24</v>
      </c>
      <c r="H70" s="81">
        <v>2.3498999999999999E-2</v>
      </c>
      <c r="I70" s="82">
        <v>23.5</v>
      </c>
    </row>
    <row r="71" spans="1:9" ht="15" thickBot="1" x14ac:dyDescent="0.35">
      <c r="A71" s="363"/>
      <c r="B71" s="108" t="s">
        <v>94</v>
      </c>
      <c r="C71" s="84" t="s">
        <v>125</v>
      </c>
      <c r="D71" s="79" t="s">
        <v>126</v>
      </c>
      <c r="E71" s="80">
        <v>500</v>
      </c>
      <c r="F71" s="74">
        <f t="shared" si="0"/>
        <v>250</v>
      </c>
      <c r="G71" s="80" t="s">
        <v>22</v>
      </c>
      <c r="H71" s="81">
        <v>1.9295E-2</v>
      </c>
      <c r="I71" s="82">
        <v>9.65</v>
      </c>
    </row>
    <row r="72" spans="1:9" ht="15" thickBot="1" x14ac:dyDescent="0.35">
      <c r="A72" s="363"/>
      <c r="B72" s="108" t="s">
        <v>94</v>
      </c>
      <c r="C72" s="84" t="s">
        <v>54</v>
      </c>
      <c r="D72" s="79" t="s">
        <v>55</v>
      </c>
      <c r="E72" s="80">
        <v>500</v>
      </c>
      <c r="F72" s="74">
        <f t="shared" ref="F72:F81" si="3">E72/2</f>
        <v>250</v>
      </c>
      <c r="G72" s="80" t="s">
        <v>22</v>
      </c>
      <c r="H72" s="81">
        <v>1.8568999999999999E-2</v>
      </c>
      <c r="I72" s="82">
        <v>9.2799999999999994</v>
      </c>
    </row>
    <row r="73" spans="1:9" ht="15" thickBot="1" x14ac:dyDescent="0.35">
      <c r="A73" s="363"/>
      <c r="B73" s="108" t="s">
        <v>94</v>
      </c>
      <c r="C73" s="84" t="s">
        <v>127</v>
      </c>
      <c r="D73" s="79" t="s">
        <v>128</v>
      </c>
      <c r="E73" s="80">
        <v>500</v>
      </c>
      <c r="F73" s="74">
        <f t="shared" si="3"/>
        <v>250</v>
      </c>
      <c r="G73" s="80" t="s">
        <v>22</v>
      </c>
      <c r="H73" s="81">
        <v>1.8586999999999999E-2</v>
      </c>
      <c r="I73" s="82">
        <v>9.2899999999999991</v>
      </c>
    </row>
    <row r="74" spans="1:9" ht="15" thickBot="1" x14ac:dyDescent="0.35">
      <c r="A74" s="363"/>
      <c r="B74" s="108" t="s">
        <v>94</v>
      </c>
      <c r="C74" s="84" t="s">
        <v>33</v>
      </c>
      <c r="D74" s="79" t="s">
        <v>34</v>
      </c>
      <c r="E74" s="80">
        <v>1</v>
      </c>
      <c r="F74" s="74">
        <f t="shared" si="3"/>
        <v>0.5</v>
      </c>
      <c r="G74" s="80" t="s">
        <v>24</v>
      </c>
      <c r="H74" s="81">
        <v>8.0960000000000008E-3</v>
      </c>
      <c r="I74" s="82">
        <v>8.1</v>
      </c>
    </row>
    <row r="75" spans="1:9" ht="15" thickBot="1" x14ac:dyDescent="0.35">
      <c r="A75" s="364"/>
      <c r="B75" s="108" t="s">
        <v>94</v>
      </c>
      <c r="C75" s="109" t="s">
        <v>56</v>
      </c>
      <c r="D75" s="79" t="s">
        <v>57</v>
      </c>
      <c r="E75" s="80">
        <v>180</v>
      </c>
      <c r="F75" s="74">
        <f t="shared" si="3"/>
        <v>90</v>
      </c>
      <c r="G75" s="80" t="s">
        <v>22</v>
      </c>
      <c r="H75" s="81">
        <v>2.2055999999999999E-2</v>
      </c>
      <c r="I75" s="82">
        <v>3.97</v>
      </c>
    </row>
    <row r="76" spans="1:9" ht="15" thickBot="1" x14ac:dyDescent="0.35">
      <c r="A76" s="365" t="s">
        <v>137</v>
      </c>
      <c r="B76" s="108" t="s">
        <v>101</v>
      </c>
      <c r="C76" s="153" t="s">
        <v>102</v>
      </c>
      <c r="D76" s="154" t="s">
        <v>103</v>
      </c>
      <c r="E76" s="69">
        <v>150</v>
      </c>
      <c r="F76" s="74">
        <f t="shared" si="3"/>
        <v>75</v>
      </c>
      <c r="G76" s="69" t="s">
        <v>22</v>
      </c>
      <c r="H76" s="155">
        <v>0.32379599999999997</v>
      </c>
      <c r="I76" s="156">
        <v>48.57</v>
      </c>
    </row>
    <row r="77" spans="1:9" ht="15" thickBot="1" x14ac:dyDescent="0.35">
      <c r="A77" s="366"/>
      <c r="B77" s="157" t="s">
        <v>101</v>
      </c>
      <c r="C77" s="134" t="s">
        <v>46</v>
      </c>
      <c r="D77" s="73" t="s">
        <v>47</v>
      </c>
      <c r="E77" s="74">
        <v>250</v>
      </c>
      <c r="F77" s="74">
        <f t="shared" si="3"/>
        <v>125</v>
      </c>
      <c r="G77" s="74" t="s">
        <v>22</v>
      </c>
      <c r="H77" s="75">
        <v>2.9127E-2</v>
      </c>
      <c r="I77" s="76">
        <v>7.28</v>
      </c>
    </row>
    <row r="78" spans="1:9" ht="15" thickBot="1" x14ac:dyDescent="0.35">
      <c r="A78" s="366"/>
      <c r="B78" s="157" t="s">
        <v>101</v>
      </c>
      <c r="C78" s="111" t="s">
        <v>104</v>
      </c>
      <c r="D78" s="79" t="s">
        <v>105</v>
      </c>
      <c r="E78" s="80">
        <v>400</v>
      </c>
      <c r="F78" s="74">
        <f t="shared" si="3"/>
        <v>200</v>
      </c>
      <c r="G78" s="80" t="s">
        <v>22</v>
      </c>
      <c r="H78" s="81">
        <v>4.1161999999999997E-2</v>
      </c>
      <c r="I78" s="82">
        <v>16.46</v>
      </c>
    </row>
    <row r="79" spans="1:9" ht="15" thickBot="1" x14ac:dyDescent="0.35">
      <c r="A79" s="366"/>
      <c r="B79" s="108" t="s">
        <v>101</v>
      </c>
      <c r="C79" s="84" t="s">
        <v>132</v>
      </c>
      <c r="D79" s="79" t="s">
        <v>133</v>
      </c>
      <c r="E79" s="80">
        <v>600</v>
      </c>
      <c r="F79" s="74">
        <f t="shared" si="3"/>
        <v>300</v>
      </c>
      <c r="G79" s="80" t="s">
        <v>22</v>
      </c>
      <c r="H79" s="81">
        <v>1.9413E-2</v>
      </c>
      <c r="I79" s="82">
        <v>11.65</v>
      </c>
    </row>
    <row r="80" spans="1:9" ht="15" thickBot="1" x14ac:dyDescent="0.35">
      <c r="A80" s="366"/>
      <c r="B80" s="108" t="s">
        <v>101</v>
      </c>
      <c r="C80" s="84" t="s">
        <v>127</v>
      </c>
      <c r="D80" s="158" t="s">
        <v>128</v>
      </c>
      <c r="E80" s="78">
        <v>500</v>
      </c>
      <c r="F80" s="74">
        <f t="shared" si="3"/>
        <v>250</v>
      </c>
      <c r="G80" s="78" t="s">
        <v>22</v>
      </c>
      <c r="H80" s="159">
        <v>1.8586999999999999E-2</v>
      </c>
      <c r="I80" s="160">
        <v>9.2899999999999991</v>
      </c>
    </row>
    <row r="81" spans="1:9" ht="15" thickBot="1" x14ac:dyDescent="0.35">
      <c r="A81" s="366"/>
      <c r="B81" s="108" t="s">
        <v>101</v>
      </c>
      <c r="C81" s="109" t="s">
        <v>33</v>
      </c>
      <c r="D81" s="161" t="s">
        <v>34</v>
      </c>
      <c r="E81" s="78">
        <v>1</v>
      </c>
      <c r="F81" s="74">
        <f t="shared" si="3"/>
        <v>0.5</v>
      </c>
      <c r="G81" s="162"/>
      <c r="H81" s="163"/>
      <c r="I81" s="163"/>
    </row>
    <row r="82" spans="1:9" ht="15" thickBot="1" x14ac:dyDescent="0.35">
      <c r="A82" s="367"/>
      <c r="B82" s="57"/>
      <c r="C82" s="57"/>
      <c r="D82" s="57"/>
      <c r="E82" s="57"/>
      <c r="F82" s="57"/>
      <c r="G82" s="368" t="s">
        <v>138</v>
      </c>
      <c r="H82" s="368"/>
      <c r="I82" s="164">
        <f>SUM(I7:I80)</f>
        <v>2173.1497074626873</v>
      </c>
    </row>
    <row r="83" spans="1:9" x14ac:dyDescent="0.3">
      <c r="A83" s="57"/>
      <c r="B83" s="57"/>
      <c r="C83" s="57"/>
      <c r="D83" s="57"/>
      <c r="E83" s="57"/>
      <c r="F83" s="57"/>
      <c r="G83" s="57"/>
      <c r="H83" s="57"/>
      <c r="I83" s="57"/>
    </row>
    <row r="84" spans="1:9" x14ac:dyDescent="0.3">
      <c r="A84" s="165"/>
      <c r="B84" s="165"/>
      <c r="C84" s="165"/>
      <c r="D84" s="165"/>
      <c r="E84" s="165"/>
      <c r="F84" s="165"/>
      <c r="G84" s="165"/>
      <c r="H84" s="165"/>
      <c r="I84" s="165"/>
    </row>
    <row r="85" spans="1:9" x14ac:dyDescent="0.3">
      <c r="A85" s="165"/>
      <c r="B85" s="165"/>
      <c r="C85" s="165"/>
      <c r="D85" s="165"/>
      <c r="E85" s="165"/>
      <c r="F85" s="165"/>
      <c r="G85" s="165"/>
      <c r="H85" s="165"/>
      <c r="I85" s="165"/>
    </row>
  </sheetData>
  <mergeCells count="15">
    <mergeCell ref="A25:A30"/>
    <mergeCell ref="A1:E1"/>
    <mergeCell ref="A3:I4"/>
    <mergeCell ref="A8:A14"/>
    <mergeCell ref="A15:A18"/>
    <mergeCell ref="A19:A24"/>
    <mergeCell ref="A68:A75"/>
    <mergeCell ref="A76:A82"/>
    <mergeCell ref="G82:H82"/>
    <mergeCell ref="A31:A38"/>
    <mergeCell ref="A39:A43"/>
    <mergeCell ref="A44:A50"/>
    <mergeCell ref="A51:A57"/>
    <mergeCell ref="A58:A64"/>
    <mergeCell ref="A65:A67"/>
  </mergeCells>
  <pageMargins left="0.25" right="0.25" top="0.75" bottom="0.75" header="0.3" footer="0.3"/>
  <pageSetup scale="94" orientation="landscape" horizontalDpi="1200" verticalDpi="1200" r:id="rId1"/>
  <rowBreaks count="2" manualBreakCount="2">
    <brk id="30" max="16383" man="1"/>
    <brk id="57" max="1638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FFF76-2FCB-48FB-9FFF-4A5F9AD96F2E}">
  <dimension ref="A1:M9"/>
  <sheetViews>
    <sheetView workbookViewId="0">
      <selection activeCell="F11" sqref="F11"/>
    </sheetView>
  </sheetViews>
  <sheetFormatPr baseColWidth="10" defaultRowHeight="14.4" x14ac:dyDescent="0.3"/>
  <cols>
    <col min="2" max="2" width="14.88671875" customWidth="1"/>
    <col min="3" max="3" width="22" customWidth="1"/>
    <col min="6" max="6" width="16.33203125" customWidth="1"/>
  </cols>
  <sheetData>
    <row r="1" spans="1:13" x14ac:dyDescent="0.3">
      <c r="A1" s="350" t="s">
        <v>141</v>
      </c>
      <c r="B1" s="351"/>
      <c r="C1" s="351"/>
      <c r="D1" s="351"/>
      <c r="E1" s="351"/>
      <c r="F1" s="352"/>
    </row>
    <row r="2" spans="1:13" ht="36.9" customHeight="1" thickBot="1" x14ac:dyDescent="0.35">
      <c r="A2" s="353"/>
      <c r="B2" s="354"/>
      <c r="C2" s="354"/>
      <c r="D2" s="354"/>
      <c r="E2" s="354"/>
      <c r="F2" s="355"/>
    </row>
    <row r="3" spans="1:13" ht="15" thickBot="1" x14ac:dyDescent="0.35">
      <c r="A3" s="356" t="s">
        <v>142</v>
      </c>
      <c r="B3" s="357"/>
      <c r="C3" s="358">
        <v>0.3</v>
      </c>
      <c r="D3" s="359"/>
      <c r="E3" s="359"/>
      <c r="F3" s="360"/>
    </row>
    <row r="4" spans="1:13" ht="28.8" thickBot="1" x14ac:dyDescent="0.35">
      <c r="A4" s="294" t="s">
        <v>143</v>
      </c>
      <c r="B4" s="233" t="s">
        <v>144</v>
      </c>
      <c r="C4" s="233" t="s">
        <v>145</v>
      </c>
      <c r="D4" s="234" t="s">
        <v>146</v>
      </c>
      <c r="E4" s="234" t="s">
        <v>147</v>
      </c>
      <c r="F4" s="235" t="s">
        <v>148</v>
      </c>
      <c r="H4" s="285"/>
      <c r="I4" s="285"/>
      <c r="J4" s="285"/>
      <c r="K4" s="286"/>
      <c r="L4" s="286"/>
      <c r="M4" s="286"/>
    </row>
    <row r="5" spans="1:13" ht="15" thickBot="1" x14ac:dyDescent="0.35">
      <c r="A5" s="295">
        <v>1</v>
      </c>
      <c r="B5" s="292" t="s">
        <v>151</v>
      </c>
      <c r="C5" s="253" t="s">
        <v>41</v>
      </c>
      <c r="D5" s="254">
        <v>40</v>
      </c>
      <c r="E5" s="255">
        <v>1</v>
      </c>
      <c r="F5" s="256">
        <f t="shared" ref="F5" si="0">D5*E5</f>
        <v>40</v>
      </c>
      <c r="H5" s="287"/>
      <c r="I5" s="287"/>
      <c r="J5" s="52"/>
      <c r="K5" s="288"/>
      <c r="L5" s="284"/>
      <c r="M5" s="284"/>
    </row>
    <row r="6" spans="1:13" ht="15" thickBot="1" x14ac:dyDescent="0.35">
      <c r="A6" s="295">
        <v>4</v>
      </c>
      <c r="B6" s="292" t="s">
        <v>154</v>
      </c>
      <c r="C6" s="253" t="s">
        <v>41</v>
      </c>
      <c r="D6" s="254">
        <v>32</v>
      </c>
      <c r="E6" s="255">
        <v>1</v>
      </c>
      <c r="F6" s="256">
        <f t="shared" ref="F6" si="1">D6*E6</f>
        <v>32</v>
      </c>
      <c r="H6" s="287"/>
      <c r="I6" s="287"/>
      <c r="J6" s="52"/>
      <c r="K6" s="288"/>
      <c r="L6" s="284"/>
      <c r="M6" s="284"/>
    </row>
    <row r="7" spans="1:13" ht="15" thickBot="1" x14ac:dyDescent="0.35">
      <c r="A7" s="295">
        <v>8</v>
      </c>
      <c r="B7" s="293" t="s">
        <v>154</v>
      </c>
      <c r="C7" s="253" t="s">
        <v>41</v>
      </c>
      <c r="D7" s="254">
        <v>8</v>
      </c>
      <c r="E7" s="255">
        <v>1</v>
      </c>
      <c r="F7" s="272">
        <f t="shared" ref="F7" si="2">D7*E7</f>
        <v>8</v>
      </c>
      <c r="H7" s="287"/>
      <c r="I7" s="287"/>
      <c r="J7" s="52"/>
      <c r="K7" s="288"/>
      <c r="L7" s="284"/>
      <c r="M7" s="284"/>
    </row>
    <row r="8" spans="1:13" ht="15" thickBot="1" x14ac:dyDescent="0.35">
      <c r="A8" s="280"/>
      <c r="B8" s="281"/>
      <c r="C8" s="280"/>
      <c r="D8" s="282"/>
      <c r="E8" s="283" t="s">
        <v>7</v>
      </c>
      <c r="F8" s="279">
        <f>SUM(F5:F7)</f>
        <v>80</v>
      </c>
      <c r="H8" s="287"/>
      <c r="I8" s="289"/>
      <c r="J8" s="287"/>
      <c r="K8" s="290"/>
      <c r="L8" s="291"/>
      <c r="M8" s="284"/>
    </row>
    <row r="9" spans="1:13" x14ac:dyDescent="0.3">
      <c r="A9" s="52"/>
      <c r="B9" s="52"/>
      <c r="C9" s="52"/>
      <c r="D9" s="52"/>
      <c r="E9" s="52"/>
      <c r="F9" s="52"/>
    </row>
  </sheetData>
  <mergeCells count="3">
    <mergeCell ref="A1:F2"/>
    <mergeCell ref="A3:B3"/>
    <mergeCell ref="C3:F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F58E9-FFEE-49A5-99C4-DD1B2DBA98D8}">
  <dimension ref="A1:I86"/>
  <sheetViews>
    <sheetView view="pageBreakPreview" zoomScale="60" zoomScaleNormal="100" workbookViewId="0">
      <selection sqref="A1:XFD1048576"/>
    </sheetView>
  </sheetViews>
  <sheetFormatPr baseColWidth="10" defaultRowHeight="14.4" x14ac:dyDescent="0.3"/>
  <cols>
    <col min="4" max="4" width="35.21875" customWidth="1"/>
  </cols>
  <sheetData>
    <row r="1" spans="1:9" x14ac:dyDescent="0.3">
      <c r="A1" s="419" t="s">
        <v>0</v>
      </c>
      <c r="B1" s="419"/>
      <c r="C1" s="419"/>
      <c r="D1" s="419"/>
      <c r="E1" s="419"/>
      <c r="F1" s="419"/>
      <c r="G1" s="419"/>
      <c r="H1" s="419"/>
      <c r="I1" s="419"/>
    </row>
    <row r="2" spans="1:9" x14ac:dyDescent="0.3">
      <c r="A2" s="419"/>
      <c r="B2" s="419"/>
      <c r="C2" s="419"/>
      <c r="D2" s="419"/>
      <c r="E2" s="419"/>
      <c r="F2" s="419"/>
      <c r="G2" s="419"/>
      <c r="H2" s="419"/>
      <c r="I2" s="419"/>
    </row>
    <row r="3" spans="1:9" ht="25.8" thickBot="1" x14ac:dyDescent="0.35">
      <c r="A3" s="180">
        <v>45979</v>
      </c>
      <c r="B3" s="181" t="s">
        <v>1</v>
      </c>
      <c r="C3" s="182" t="s">
        <v>2</v>
      </c>
      <c r="D3" s="183" t="s">
        <v>3</v>
      </c>
      <c r="E3" s="184" t="s">
        <v>4</v>
      </c>
      <c r="F3" s="184"/>
      <c r="G3" s="184" t="s">
        <v>5</v>
      </c>
      <c r="H3" s="185" t="s">
        <v>6</v>
      </c>
      <c r="I3" s="183" t="s">
        <v>7</v>
      </c>
    </row>
    <row r="4" spans="1:9" ht="15" thickBot="1" x14ac:dyDescent="0.35">
      <c r="A4" s="186" t="s">
        <v>8</v>
      </c>
      <c r="B4" s="187" t="s">
        <v>9</v>
      </c>
      <c r="C4" s="187" t="s">
        <v>10</v>
      </c>
      <c r="D4" s="188" t="s">
        <v>11</v>
      </c>
      <c r="E4" s="189">
        <v>58</v>
      </c>
      <c r="F4" s="189"/>
      <c r="G4" s="189" t="s">
        <v>12</v>
      </c>
      <c r="H4" s="190">
        <v>1.4E-2</v>
      </c>
      <c r="I4" s="191">
        <v>812</v>
      </c>
    </row>
    <row r="5" spans="1:9" ht="15" thickBot="1" x14ac:dyDescent="0.35">
      <c r="A5" s="420" t="s">
        <v>13</v>
      </c>
      <c r="B5" s="192" t="s">
        <v>9</v>
      </c>
      <c r="C5" s="192"/>
      <c r="D5" s="193" t="s">
        <v>14</v>
      </c>
      <c r="E5" s="192">
        <v>1</v>
      </c>
      <c r="F5" s="192">
        <f>E5/2</f>
        <v>0.5</v>
      </c>
      <c r="G5" s="192" t="s">
        <v>15</v>
      </c>
      <c r="H5" s="194">
        <v>11.5</v>
      </c>
      <c r="I5" s="195">
        <f>H5*E5</f>
        <v>11.5</v>
      </c>
    </row>
    <row r="6" spans="1:9" ht="15" thickBot="1" x14ac:dyDescent="0.35">
      <c r="A6" s="421"/>
      <c r="B6" s="196" t="s">
        <v>9</v>
      </c>
      <c r="C6" s="196"/>
      <c r="D6" s="197" t="s">
        <v>16</v>
      </c>
      <c r="E6" s="196">
        <v>0.2</v>
      </c>
      <c r="F6" s="192">
        <f t="shared" ref="F6:F69" si="0">E6/2</f>
        <v>0.1</v>
      </c>
      <c r="G6" s="196" t="s">
        <v>17</v>
      </c>
      <c r="H6" s="198">
        <v>15</v>
      </c>
      <c r="I6" s="199">
        <f>H6*E6</f>
        <v>3</v>
      </c>
    </row>
    <row r="7" spans="1:9" ht="15" thickBot="1" x14ac:dyDescent="0.35">
      <c r="A7" s="422" t="s">
        <v>18</v>
      </c>
      <c r="B7" s="85" t="s">
        <v>19</v>
      </c>
      <c r="C7" s="85" t="s">
        <v>20</v>
      </c>
      <c r="D7" s="86" t="s">
        <v>21</v>
      </c>
      <c r="E7" s="88">
        <v>1.5</v>
      </c>
      <c r="F7" s="192">
        <f t="shared" si="0"/>
        <v>0.75</v>
      </c>
      <c r="G7" s="88" t="s">
        <v>22</v>
      </c>
      <c r="H7" s="89">
        <v>3.4914000000000001E-2</v>
      </c>
      <c r="I7" s="90">
        <v>52.37</v>
      </c>
    </row>
    <row r="8" spans="1:9" ht="15" thickBot="1" x14ac:dyDescent="0.35">
      <c r="A8" s="423"/>
      <c r="B8" s="130" t="s">
        <v>23</v>
      </c>
      <c r="C8" s="130"/>
      <c r="D8" s="128" t="s">
        <v>16</v>
      </c>
      <c r="E8" s="130">
        <v>0.2</v>
      </c>
      <c r="F8" s="192">
        <f t="shared" si="0"/>
        <v>0.1</v>
      </c>
      <c r="G8" s="130" t="s">
        <v>24</v>
      </c>
      <c r="H8" s="200">
        <v>15</v>
      </c>
      <c r="I8" s="201">
        <f>H8*E8</f>
        <v>3</v>
      </c>
    </row>
    <row r="9" spans="1:9" ht="15" thickBot="1" x14ac:dyDescent="0.35">
      <c r="A9" s="423"/>
      <c r="B9" s="91" t="s">
        <v>19</v>
      </c>
      <c r="C9" s="91" t="s">
        <v>25</v>
      </c>
      <c r="D9" s="92" t="s">
        <v>26</v>
      </c>
      <c r="E9" s="94">
        <v>600</v>
      </c>
      <c r="F9" s="192">
        <f t="shared" si="0"/>
        <v>300</v>
      </c>
      <c r="G9" s="94" t="s">
        <v>22</v>
      </c>
      <c r="H9" s="120">
        <v>7.0749999999999997E-3</v>
      </c>
      <c r="I9" s="95">
        <v>4.24</v>
      </c>
    </row>
    <row r="10" spans="1:9" ht="15" thickBot="1" x14ac:dyDescent="0.35">
      <c r="A10" s="423"/>
      <c r="B10" s="130" t="s">
        <v>19</v>
      </c>
      <c r="C10" s="130" t="s">
        <v>27</v>
      </c>
      <c r="D10" s="128" t="s">
        <v>28</v>
      </c>
      <c r="E10" s="130">
        <v>0.5</v>
      </c>
      <c r="F10" s="192">
        <f t="shared" si="0"/>
        <v>0.25</v>
      </c>
      <c r="G10" s="130" t="s">
        <v>15</v>
      </c>
      <c r="H10" s="202">
        <v>32.5</v>
      </c>
      <c r="I10" s="201">
        <f>H10*E10</f>
        <v>16.25</v>
      </c>
    </row>
    <row r="11" spans="1:9" ht="15" thickBot="1" x14ac:dyDescent="0.35">
      <c r="A11" s="423"/>
      <c r="B11" s="130"/>
      <c r="C11" s="130"/>
      <c r="D11" s="128" t="s">
        <v>29</v>
      </c>
      <c r="E11" s="130">
        <v>1</v>
      </c>
      <c r="F11" s="192">
        <f t="shared" si="0"/>
        <v>0.5</v>
      </c>
      <c r="G11" s="130" t="s">
        <v>30</v>
      </c>
      <c r="H11" s="202">
        <v>18.97</v>
      </c>
      <c r="I11" s="201">
        <f>H11*E11</f>
        <v>18.97</v>
      </c>
    </row>
    <row r="12" spans="1:9" ht="15" thickBot="1" x14ac:dyDescent="0.35">
      <c r="A12" s="423"/>
      <c r="B12" s="91" t="s">
        <v>19</v>
      </c>
      <c r="C12" s="91" t="s">
        <v>31</v>
      </c>
      <c r="D12" s="92" t="s">
        <v>32</v>
      </c>
      <c r="E12" s="94">
        <v>100</v>
      </c>
      <c r="F12" s="192">
        <f t="shared" si="0"/>
        <v>50</v>
      </c>
      <c r="G12" s="94" t="s">
        <v>24</v>
      </c>
      <c r="H12" s="120">
        <v>1.0089999999999999E-3</v>
      </c>
      <c r="I12" s="95">
        <v>0.1</v>
      </c>
    </row>
    <row r="13" spans="1:9" ht="15" thickBot="1" x14ac:dyDescent="0.35">
      <c r="A13" s="424"/>
      <c r="B13" s="203" t="s">
        <v>19</v>
      </c>
      <c r="C13" s="203" t="s">
        <v>33</v>
      </c>
      <c r="D13" s="147" t="s">
        <v>34</v>
      </c>
      <c r="E13" s="149">
        <v>1</v>
      </c>
      <c r="F13" s="192">
        <f t="shared" si="0"/>
        <v>0.5</v>
      </c>
      <c r="G13" s="149" t="s">
        <v>24</v>
      </c>
      <c r="H13" s="150">
        <v>8.0960000000000008E-3</v>
      </c>
      <c r="I13" s="151">
        <v>8.1</v>
      </c>
    </row>
    <row r="14" spans="1:9" ht="15" thickBot="1" x14ac:dyDescent="0.35">
      <c r="A14" s="425" t="s">
        <v>35</v>
      </c>
      <c r="B14" s="85" t="s">
        <v>36</v>
      </c>
      <c r="C14" s="85" t="s">
        <v>37</v>
      </c>
      <c r="D14" s="86" t="s">
        <v>38</v>
      </c>
      <c r="E14" s="87">
        <f>(51*100)/33.5</f>
        <v>152.23880597014926</v>
      </c>
      <c r="F14" s="192">
        <f t="shared" si="0"/>
        <v>76.119402985074629</v>
      </c>
      <c r="G14" s="88" t="s">
        <v>39</v>
      </c>
      <c r="H14" s="89">
        <v>0.96620300000000003</v>
      </c>
      <c r="I14" s="90">
        <f>H14*E14</f>
        <v>147.09359104477613</v>
      </c>
    </row>
    <row r="15" spans="1:9" ht="15" thickBot="1" x14ac:dyDescent="0.35">
      <c r="A15" s="426"/>
      <c r="B15" s="91"/>
      <c r="C15" s="91"/>
      <c r="D15" s="92" t="s">
        <v>40</v>
      </c>
      <c r="E15" s="93">
        <f>0.2*62</f>
        <v>12.4</v>
      </c>
      <c r="F15" s="192">
        <f t="shared" si="0"/>
        <v>6.2</v>
      </c>
      <c r="G15" s="94" t="s">
        <v>17</v>
      </c>
      <c r="H15" s="94">
        <v>3</v>
      </c>
      <c r="I15" s="95">
        <f>H15*E15</f>
        <v>37.200000000000003</v>
      </c>
    </row>
    <row r="16" spans="1:9" ht="15" thickBot="1" x14ac:dyDescent="0.35">
      <c r="A16" s="426"/>
      <c r="B16" s="96"/>
      <c r="C16" s="97"/>
      <c r="D16" s="98" t="s">
        <v>41</v>
      </c>
      <c r="E16" s="99">
        <v>80</v>
      </c>
      <c r="F16" s="192">
        <f t="shared" si="0"/>
        <v>40</v>
      </c>
      <c r="G16" s="100" t="s">
        <v>39</v>
      </c>
      <c r="H16" s="100">
        <v>1</v>
      </c>
      <c r="I16" s="101">
        <f>H16*E16</f>
        <v>80</v>
      </c>
    </row>
    <row r="17" spans="1:9" ht="15" thickBot="1" x14ac:dyDescent="0.35">
      <c r="A17" s="427"/>
      <c r="B17" s="102" t="s">
        <v>36</v>
      </c>
      <c r="C17" s="103" t="s">
        <v>42</v>
      </c>
      <c r="D17" s="104" t="s">
        <v>43</v>
      </c>
      <c r="E17" s="105"/>
      <c r="F17" s="192">
        <f t="shared" si="0"/>
        <v>0</v>
      </c>
      <c r="G17" s="102"/>
      <c r="H17" s="106"/>
      <c r="I17" s="107"/>
    </row>
    <row r="18" spans="1:9" ht="15" thickBot="1" x14ac:dyDescent="0.35">
      <c r="A18" s="410" t="s">
        <v>44</v>
      </c>
      <c r="B18" s="204" t="s">
        <v>45</v>
      </c>
      <c r="C18" s="204" t="s">
        <v>46</v>
      </c>
      <c r="D18" s="86" t="s">
        <v>47</v>
      </c>
      <c r="E18" s="88">
        <v>400</v>
      </c>
      <c r="F18" s="192">
        <f t="shared" si="0"/>
        <v>200</v>
      </c>
      <c r="G18" s="88" t="s">
        <v>22</v>
      </c>
      <c r="H18" s="89">
        <v>2.9127E-2</v>
      </c>
      <c r="I18" s="90">
        <v>11.65</v>
      </c>
    </row>
    <row r="19" spans="1:9" ht="15" thickBot="1" x14ac:dyDescent="0.35">
      <c r="A19" s="411"/>
      <c r="B19" s="119" t="s">
        <v>45</v>
      </c>
      <c r="C19" s="119" t="s">
        <v>48</v>
      </c>
      <c r="D19" s="92" t="s">
        <v>49</v>
      </c>
      <c r="E19" s="94">
        <v>5</v>
      </c>
      <c r="F19" s="192">
        <f t="shared" si="0"/>
        <v>2.5</v>
      </c>
      <c r="G19" s="94" t="s">
        <v>15</v>
      </c>
      <c r="H19" s="205">
        <v>5962143</v>
      </c>
      <c r="I19" s="95">
        <v>29.81</v>
      </c>
    </row>
    <row r="20" spans="1:9" ht="15" thickBot="1" x14ac:dyDescent="0.35">
      <c r="A20" s="411"/>
      <c r="B20" s="127" t="s">
        <v>45</v>
      </c>
      <c r="C20" s="127"/>
      <c r="D20" s="128" t="s">
        <v>14</v>
      </c>
      <c r="E20" s="130">
        <v>2</v>
      </c>
      <c r="F20" s="192">
        <f t="shared" si="0"/>
        <v>1</v>
      </c>
      <c r="G20" s="130" t="s">
        <v>15</v>
      </c>
      <c r="H20" s="194">
        <v>11.5</v>
      </c>
      <c r="I20" s="201">
        <f>H20*E20</f>
        <v>23</v>
      </c>
    </row>
    <row r="21" spans="1:9" ht="15" thickBot="1" x14ac:dyDescent="0.35">
      <c r="A21" s="411"/>
      <c r="B21" s="127" t="s">
        <v>45</v>
      </c>
      <c r="C21" s="127"/>
      <c r="D21" s="128" t="s">
        <v>16</v>
      </c>
      <c r="E21" s="130">
        <v>0.5</v>
      </c>
      <c r="F21" s="192">
        <f t="shared" si="0"/>
        <v>0.25</v>
      </c>
      <c r="G21" s="130" t="s">
        <v>17</v>
      </c>
      <c r="H21" s="200">
        <v>15</v>
      </c>
      <c r="I21" s="201">
        <f>H21*E21</f>
        <v>7.5</v>
      </c>
    </row>
    <row r="22" spans="1:9" ht="15" thickBot="1" x14ac:dyDescent="0.35">
      <c r="A22" s="411"/>
      <c r="B22" s="119" t="s">
        <v>45</v>
      </c>
      <c r="C22" s="121"/>
      <c r="D22" s="122" t="s">
        <v>50</v>
      </c>
      <c r="E22" s="124"/>
      <c r="F22" s="192">
        <f t="shared" si="0"/>
        <v>0</v>
      </c>
      <c r="G22" s="124" t="s">
        <v>17</v>
      </c>
      <c r="H22" s="206"/>
      <c r="I22" s="126">
        <f>H22*E22</f>
        <v>0</v>
      </c>
    </row>
    <row r="23" spans="1:9" ht="15" thickBot="1" x14ac:dyDescent="0.35">
      <c r="A23" s="412"/>
      <c r="B23" s="145" t="s">
        <v>45</v>
      </c>
      <c r="C23" s="146" t="s">
        <v>33</v>
      </c>
      <c r="D23" s="147" t="s">
        <v>34</v>
      </c>
      <c r="E23" s="149">
        <v>1</v>
      </c>
      <c r="F23" s="192">
        <f t="shared" si="0"/>
        <v>0.5</v>
      </c>
      <c r="G23" s="149" t="s">
        <v>24</v>
      </c>
      <c r="H23" s="150">
        <v>8.0960000000000008E-3</v>
      </c>
      <c r="I23" s="151">
        <v>8.1</v>
      </c>
    </row>
    <row r="24" spans="1:9" ht="15" thickBot="1" x14ac:dyDescent="0.35">
      <c r="A24" s="416" t="s">
        <v>51</v>
      </c>
      <c r="B24" s="204" t="s">
        <v>52</v>
      </c>
      <c r="C24" s="85" t="s">
        <v>25</v>
      </c>
      <c r="D24" s="86" t="s">
        <v>26</v>
      </c>
      <c r="E24" s="88">
        <v>600</v>
      </c>
      <c r="F24" s="192">
        <f t="shared" si="0"/>
        <v>300</v>
      </c>
      <c r="G24" s="88" t="s">
        <v>22</v>
      </c>
      <c r="H24" s="89">
        <v>7.0749999999999997E-3</v>
      </c>
      <c r="I24" s="90">
        <v>4.24</v>
      </c>
    </row>
    <row r="25" spans="1:9" ht="15" thickBot="1" x14ac:dyDescent="0.35">
      <c r="A25" s="417"/>
      <c r="B25" s="127" t="s">
        <v>52</v>
      </c>
      <c r="C25" s="127"/>
      <c r="D25" s="128" t="s">
        <v>28</v>
      </c>
      <c r="E25" s="130">
        <v>0.5</v>
      </c>
      <c r="F25" s="192">
        <f t="shared" si="0"/>
        <v>0.25</v>
      </c>
      <c r="G25" s="130" t="s">
        <v>15</v>
      </c>
      <c r="H25" s="202">
        <v>32.5</v>
      </c>
      <c r="I25" s="201">
        <f>H25*E25</f>
        <v>16.25</v>
      </c>
    </row>
    <row r="26" spans="1:9" ht="15" thickBot="1" x14ac:dyDescent="0.35">
      <c r="A26" s="417"/>
      <c r="B26" s="127" t="s">
        <v>52</v>
      </c>
      <c r="C26" s="127"/>
      <c r="D26" s="128" t="s">
        <v>16</v>
      </c>
      <c r="E26" s="130">
        <v>0.2</v>
      </c>
      <c r="F26" s="192">
        <f t="shared" si="0"/>
        <v>0.1</v>
      </c>
      <c r="G26" s="130" t="s">
        <v>17</v>
      </c>
      <c r="H26" s="200">
        <v>15</v>
      </c>
      <c r="I26" s="201">
        <f>H26*E26</f>
        <v>3</v>
      </c>
    </row>
    <row r="27" spans="1:9" ht="15" thickBot="1" x14ac:dyDescent="0.35">
      <c r="A27" s="417"/>
      <c r="B27" s="127" t="s">
        <v>52</v>
      </c>
      <c r="C27" s="127"/>
      <c r="D27" s="128" t="s">
        <v>53</v>
      </c>
      <c r="E27" s="130">
        <v>1</v>
      </c>
      <c r="F27" s="192">
        <f t="shared" si="0"/>
        <v>0.5</v>
      </c>
      <c r="G27" s="130" t="s">
        <v>15</v>
      </c>
      <c r="H27" s="202">
        <v>33.25</v>
      </c>
      <c r="I27" s="201">
        <f>H27*E27</f>
        <v>33.25</v>
      </c>
    </row>
    <row r="28" spans="1:9" ht="15" thickBot="1" x14ac:dyDescent="0.35">
      <c r="A28" s="417"/>
      <c r="B28" s="127"/>
      <c r="C28" s="127"/>
      <c r="D28" s="128" t="s">
        <v>29</v>
      </c>
      <c r="E28" s="130">
        <v>1</v>
      </c>
      <c r="F28" s="192">
        <f t="shared" si="0"/>
        <v>0.5</v>
      </c>
      <c r="G28" s="130" t="s">
        <v>15</v>
      </c>
      <c r="H28" s="202">
        <v>18.97</v>
      </c>
      <c r="I28" s="201">
        <f>H28*E28</f>
        <v>18.97</v>
      </c>
    </row>
    <row r="29" spans="1:9" ht="15" thickBot="1" x14ac:dyDescent="0.35">
      <c r="A29" s="417"/>
      <c r="B29" s="132" t="s">
        <v>52</v>
      </c>
      <c r="C29" s="132" t="s">
        <v>54</v>
      </c>
      <c r="D29" s="92" t="s">
        <v>55</v>
      </c>
      <c r="E29" s="94">
        <v>500</v>
      </c>
      <c r="F29" s="192">
        <f t="shared" si="0"/>
        <v>250</v>
      </c>
      <c r="G29" s="94" t="s">
        <v>22</v>
      </c>
      <c r="H29" s="120">
        <v>1.8568999999999999E-2</v>
      </c>
      <c r="I29" s="95">
        <v>9.2799999999999994</v>
      </c>
    </row>
    <row r="30" spans="1:9" ht="15" thickBot="1" x14ac:dyDescent="0.35">
      <c r="A30" s="417"/>
      <c r="B30" s="119" t="s">
        <v>52</v>
      </c>
      <c r="C30" s="119" t="s">
        <v>33</v>
      </c>
      <c r="D30" s="92" t="s">
        <v>34</v>
      </c>
      <c r="E30" s="94">
        <v>1</v>
      </c>
      <c r="F30" s="192">
        <f t="shared" si="0"/>
        <v>0.5</v>
      </c>
      <c r="G30" s="94" t="s">
        <v>24</v>
      </c>
      <c r="H30" s="120">
        <v>8.0960000000000008E-3</v>
      </c>
      <c r="I30" s="95">
        <v>8.1</v>
      </c>
    </row>
    <row r="31" spans="1:9" ht="15" thickBot="1" x14ac:dyDescent="0.35">
      <c r="A31" s="418"/>
      <c r="B31" s="145" t="s">
        <v>52</v>
      </c>
      <c r="C31" s="145" t="s">
        <v>56</v>
      </c>
      <c r="D31" s="147" t="s">
        <v>57</v>
      </c>
      <c r="E31" s="149">
        <v>180</v>
      </c>
      <c r="F31" s="192">
        <f t="shared" si="0"/>
        <v>90</v>
      </c>
      <c r="G31" s="149" t="s">
        <v>22</v>
      </c>
      <c r="H31" s="150">
        <v>2.2055999999999999E-2</v>
      </c>
      <c r="I31" s="151">
        <v>3.97</v>
      </c>
    </row>
    <row r="32" spans="1:9" ht="15" thickBot="1" x14ac:dyDescent="0.35">
      <c r="A32" s="369" t="s">
        <v>58</v>
      </c>
      <c r="B32" s="113" t="s">
        <v>59</v>
      </c>
      <c r="C32" s="113" t="s">
        <v>60</v>
      </c>
      <c r="D32" s="114" t="s">
        <v>61</v>
      </c>
      <c r="E32" s="115"/>
      <c r="F32" s="192">
        <f t="shared" si="0"/>
        <v>0</v>
      </c>
      <c r="G32" s="116" t="s">
        <v>39</v>
      </c>
      <c r="H32" s="117">
        <v>1271454</v>
      </c>
      <c r="I32" s="118"/>
    </row>
    <row r="33" spans="1:9" ht="15" thickBot="1" x14ac:dyDescent="0.35">
      <c r="A33" s="370"/>
      <c r="B33" s="119" t="s">
        <v>59</v>
      </c>
      <c r="C33" s="119" t="s">
        <v>62</v>
      </c>
      <c r="D33" s="92" t="s">
        <v>38</v>
      </c>
      <c r="E33" s="93">
        <f>(77*100)/33.5</f>
        <v>229.85074626865671</v>
      </c>
      <c r="F33" s="231">
        <f t="shared" si="0"/>
        <v>114.92537313432835</v>
      </c>
      <c r="G33" s="94" t="s">
        <v>39</v>
      </c>
      <c r="H33" s="120">
        <v>0.42920399999999997</v>
      </c>
      <c r="I33" s="95">
        <f>H33*E33</f>
        <v>98.652859701492531</v>
      </c>
    </row>
    <row r="34" spans="1:9" ht="15" thickBot="1" x14ac:dyDescent="0.35">
      <c r="A34" s="370"/>
      <c r="B34" s="121" t="s">
        <v>59</v>
      </c>
      <c r="C34" s="121" t="s">
        <v>37</v>
      </c>
      <c r="D34" s="122" t="s">
        <v>63</v>
      </c>
      <c r="E34" s="123"/>
      <c r="F34" s="192">
        <f t="shared" si="0"/>
        <v>0</v>
      </c>
      <c r="G34" s="124" t="s">
        <v>39</v>
      </c>
      <c r="H34" s="125">
        <v>0.96620300000000003</v>
      </c>
      <c r="I34" s="126">
        <f t="shared" ref="I34:I37" si="1">H34*E34</f>
        <v>0</v>
      </c>
    </row>
    <row r="35" spans="1:9" ht="15" thickBot="1" x14ac:dyDescent="0.35">
      <c r="A35" s="370"/>
      <c r="B35" s="121" t="s">
        <v>59</v>
      </c>
      <c r="C35" s="121" t="s">
        <v>64</v>
      </c>
      <c r="D35" s="122" t="s">
        <v>65</v>
      </c>
      <c r="E35" s="123"/>
      <c r="F35" s="192">
        <f t="shared" si="0"/>
        <v>0</v>
      </c>
      <c r="G35" s="124" t="s">
        <v>39</v>
      </c>
      <c r="H35" s="125">
        <v>0.76831099999999997</v>
      </c>
      <c r="I35" s="126">
        <f t="shared" si="1"/>
        <v>0</v>
      </c>
    </row>
    <row r="36" spans="1:9" ht="15" thickBot="1" x14ac:dyDescent="0.35">
      <c r="A36" s="370"/>
      <c r="B36" s="121" t="s">
        <v>59</v>
      </c>
      <c r="C36" s="121" t="s">
        <v>66</v>
      </c>
      <c r="D36" s="122" t="s">
        <v>67</v>
      </c>
      <c r="E36" s="123"/>
      <c r="F36" s="192">
        <f t="shared" si="0"/>
        <v>0</v>
      </c>
      <c r="G36" s="124" t="s">
        <v>39</v>
      </c>
      <c r="H36" s="125">
        <v>0.414273</v>
      </c>
      <c r="I36" s="126">
        <f t="shared" si="1"/>
        <v>0</v>
      </c>
    </row>
    <row r="37" spans="1:9" ht="15" thickBot="1" x14ac:dyDescent="0.35">
      <c r="A37" s="370"/>
      <c r="B37" s="127"/>
      <c r="C37" s="127"/>
      <c r="D37" s="128" t="s">
        <v>41</v>
      </c>
      <c r="E37" s="129">
        <v>64</v>
      </c>
      <c r="F37" s="192">
        <f t="shared" si="0"/>
        <v>32</v>
      </c>
      <c r="G37" s="130" t="s">
        <v>39</v>
      </c>
      <c r="H37" s="131">
        <v>1</v>
      </c>
      <c r="I37" s="101">
        <f t="shared" si="1"/>
        <v>64</v>
      </c>
    </row>
    <row r="38" spans="1:9" ht="15" thickBot="1" x14ac:dyDescent="0.35">
      <c r="A38" s="370"/>
      <c r="B38" s="119"/>
      <c r="C38" s="132"/>
      <c r="D38" s="92" t="s">
        <v>40</v>
      </c>
      <c r="E38" s="133">
        <f>0.5*62</f>
        <v>31</v>
      </c>
      <c r="F38" s="192">
        <f t="shared" si="0"/>
        <v>15.5</v>
      </c>
      <c r="G38" s="94" t="s">
        <v>17</v>
      </c>
      <c r="H38" s="94">
        <v>3</v>
      </c>
      <c r="I38" s="95">
        <f>H38*E38</f>
        <v>93</v>
      </c>
    </row>
    <row r="39" spans="1:9" ht="15" thickBot="1" x14ac:dyDescent="0.35">
      <c r="A39" s="371"/>
      <c r="B39" s="103" t="s">
        <v>59</v>
      </c>
      <c r="C39" s="103" t="s">
        <v>68</v>
      </c>
      <c r="D39" s="104" t="s">
        <v>69</v>
      </c>
      <c r="E39" s="105"/>
      <c r="F39" s="192">
        <f t="shared" si="0"/>
        <v>0</v>
      </c>
      <c r="G39" s="102" t="s">
        <v>39</v>
      </c>
      <c r="H39" s="106">
        <v>0.86401399999999995</v>
      </c>
      <c r="I39" s="107"/>
    </row>
    <row r="40" spans="1:9" ht="15" thickBot="1" x14ac:dyDescent="0.35">
      <c r="A40" s="407" t="s">
        <v>70</v>
      </c>
      <c r="B40" s="204" t="s">
        <v>71</v>
      </c>
      <c r="C40" s="204" t="s">
        <v>48</v>
      </c>
      <c r="D40" s="86" t="s">
        <v>72</v>
      </c>
      <c r="E40" s="88">
        <v>5</v>
      </c>
      <c r="F40" s="192">
        <f t="shared" si="0"/>
        <v>2.5</v>
      </c>
      <c r="G40" s="88" t="s">
        <v>15</v>
      </c>
      <c r="H40" s="207">
        <v>5962143</v>
      </c>
      <c r="I40" s="90">
        <v>29.81</v>
      </c>
    </row>
    <row r="41" spans="1:9" ht="15" thickBot="1" x14ac:dyDescent="0.35">
      <c r="A41" s="408"/>
      <c r="B41" s="127" t="s">
        <v>71</v>
      </c>
      <c r="C41" s="127" t="s">
        <v>73</v>
      </c>
      <c r="D41" s="128" t="s">
        <v>16</v>
      </c>
      <c r="E41" s="130">
        <v>0.2</v>
      </c>
      <c r="F41" s="192">
        <f t="shared" si="0"/>
        <v>0.1</v>
      </c>
      <c r="G41" s="130" t="s">
        <v>17</v>
      </c>
      <c r="H41" s="200">
        <v>15</v>
      </c>
      <c r="I41" s="201">
        <f>H41*E41</f>
        <v>3</v>
      </c>
    </row>
    <row r="42" spans="1:9" ht="15" thickBot="1" x14ac:dyDescent="0.35">
      <c r="A42" s="408"/>
      <c r="B42" s="119" t="s">
        <v>71</v>
      </c>
      <c r="C42" s="119" t="s">
        <v>33</v>
      </c>
      <c r="D42" s="92" t="s">
        <v>34</v>
      </c>
      <c r="E42" s="94">
        <v>1</v>
      </c>
      <c r="F42" s="192">
        <f t="shared" si="0"/>
        <v>0.5</v>
      </c>
      <c r="G42" s="94" t="s">
        <v>24</v>
      </c>
      <c r="H42" s="120">
        <v>8.0960000000000008E-3</v>
      </c>
      <c r="I42" s="95">
        <v>8.1</v>
      </c>
    </row>
    <row r="43" spans="1:9" ht="15" thickBot="1" x14ac:dyDescent="0.35">
      <c r="A43" s="409"/>
      <c r="B43" s="145" t="s">
        <v>71</v>
      </c>
      <c r="C43" s="145" t="s">
        <v>56</v>
      </c>
      <c r="D43" s="147" t="s">
        <v>57</v>
      </c>
      <c r="E43" s="149">
        <v>180</v>
      </c>
      <c r="F43" s="192">
        <f t="shared" si="0"/>
        <v>90</v>
      </c>
      <c r="G43" s="149" t="s">
        <v>22</v>
      </c>
      <c r="H43" s="150">
        <v>2.2055999999999999E-2</v>
      </c>
      <c r="I43" s="151">
        <v>3.97</v>
      </c>
    </row>
    <row r="44" spans="1:9" ht="15" thickBot="1" x14ac:dyDescent="0.35">
      <c r="A44" s="397" t="s">
        <v>74</v>
      </c>
      <c r="B44" s="204" t="s">
        <v>75</v>
      </c>
      <c r="C44" s="208" t="s">
        <v>76</v>
      </c>
      <c r="D44" s="86" t="s">
        <v>77</v>
      </c>
      <c r="E44" s="88">
        <v>400</v>
      </c>
      <c r="F44" s="192">
        <f t="shared" si="0"/>
        <v>200</v>
      </c>
      <c r="G44" s="88" t="s">
        <v>24</v>
      </c>
      <c r="H44" s="89">
        <v>3.925E-2</v>
      </c>
      <c r="I44" s="90">
        <v>15.7</v>
      </c>
    </row>
    <row r="45" spans="1:9" ht="15" thickBot="1" x14ac:dyDescent="0.35">
      <c r="A45" s="398"/>
      <c r="B45" s="121" t="s">
        <v>75</v>
      </c>
      <c r="C45" s="121" t="s">
        <v>78</v>
      </c>
      <c r="D45" s="122" t="s">
        <v>79</v>
      </c>
      <c r="E45" s="124"/>
      <c r="F45" s="192">
        <f t="shared" si="0"/>
        <v>0</v>
      </c>
      <c r="G45" s="124" t="s">
        <v>24</v>
      </c>
      <c r="H45" s="125">
        <v>1.6379999999999999E-2</v>
      </c>
      <c r="I45" s="126"/>
    </row>
    <row r="46" spans="1:9" ht="15" thickBot="1" x14ac:dyDescent="0.35">
      <c r="A46" s="398"/>
      <c r="B46" s="127" t="s">
        <v>75</v>
      </c>
      <c r="C46" s="127"/>
      <c r="D46" s="128" t="s">
        <v>28</v>
      </c>
      <c r="E46" s="130">
        <v>0.5</v>
      </c>
      <c r="F46" s="192">
        <f t="shared" si="0"/>
        <v>0.25</v>
      </c>
      <c r="G46" s="130" t="s">
        <v>15</v>
      </c>
      <c r="H46" s="202">
        <v>32.5</v>
      </c>
      <c r="I46" s="201">
        <f>H46*E46</f>
        <v>16.25</v>
      </c>
    </row>
    <row r="47" spans="1:9" ht="15" thickBot="1" x14ac:dyDescent="0.35">
      <c r="A47" s="398"/>
      <c r="B47" s="127" t="s">
        <v>75</v>
      </c>
      <c r="C47" s="127"/>
      <c r="D47" s="128" t="s">
        <v>53</v>
      </c>
      <c r="E47" s="130">
        <v>1</v>
      </c>
      <c r="F47" s="192">
        <f t="shared" si="0"/>
        <v>0.5</v>
      </c>
      <c r="G47" s="130" t="s">
        <v>15</v>
      </c>
      <c r="H47" s="202">
        <v>33.25</v>
      </c>
      <c r="I47" s="201">
        <f>H47*E47</f>
        <v>33.25</v>
      </c>
    </row>
    <row r="48" spans="1:9" ht="15" thickBot="1" x14ac:dyDescent="0.35">
      <c r="A48" s="398"/>
      <c r="B48" s="127" t="s">
        <v>75</v>
      </c>
      <c r="C48" s="127"/>
      <c r="D48" s="128" t="s">
        <v>29</v>
      </c>
      <c r="E48" s="130">
        <v>1</v>
      </c>
      <c r="F48" s="192">
        <f t="shared" si="0"/>
        <v>0.5</v>
      </c>
      <c r="G48" s="130" t="s">
        <v>15</v>
      </c>
      <c r="H48" s="202">
        <v>18.97</v>
      </c>
      <c r="I48" s="201">
        <f>H48*E48</f>
        <v>18.97</v>
      </c>
    </row>
    <row r="49" spans="1:9" ht="15" thickBot="1" x14ac:dyDescent="0.35">
      <c r="A49" s="398"/>
      <c r="B49" s="127"/>
      <c r="C49" s="127"/>
      <c r="D49" s="128" t="s">
        <v>16</v>
      </c>
      <c r="E49" s="130">
        <v>0.2</v>
      </c>
      <c r="F49" s="192">
        <f t="shared" si="0"/>
        <v>0.1</v>
      </c>
      <c r="G49" s="130" t="s">
        <v>17</v>
      </c>
      <c r="H49" s="200">
        <v>15</v>
      </c>
      <c r="I49" s="201">
        <f>H49*E49</f>
        <v>3</v>
      </c>
    </row>
    <row r="50" spans="1:9" ht="15" thickBot="1" x14ac:dyDescent="0.35">
      <c r="A50" s="398"/>
      <c r="B50" s="119" t="s">
        <v>75</v>
      </c>
      <c r="C50" s="132" t="s">
        <v>33</v>
      </c>
      <c r="D50" s="92" t="s">
        <v>34</v>
      </c>
      <c r="E50" s="94">
        <v>1</v>
      </c>
      <c r="F50" s="192">
        <f t="shared" si="0"/>
        <v>0.5</v>
      </c>
      <c r="G50" s="94" t="s">
        <v>24</v>
      </c>
      <c r="H50" s="120">
        <v>8.0960000000000008E-3</v>
      </c>
      <c r="I50" s="95">
        <v>8.1</v>
      </c>
    </row>
    <row r="51" spans="1:9" ht="15" thickBot="1" x14ac:dyDescent="0.35">
      <c r="A51" s="399"/>
      <c r="B51" s="145" t="s">
        <v>75</v>
      </c>
      <c r="C51" s="145" t="s">
        <v>56</v>
      </c>
      <c r="D51" s="147" t="s">
        <v>57</v>
      </c>
      <c r="E51" s="149">
        <v>180</v>
      </c>
      <c r="F51" s="192">
        <f t="shared" si="0"/>
        <v>90</v>
      </c>
      <c r="G51" s="149" t="s">
        <v>22</v>
      </c>
      <c r="H51" s="150">
        <v>2.2055999999999999E-2</v>
      </c>
      <c r="I51" s="151">
        <v>3.97</v>
      </c>
    </row>
    <row r="52" spans="1:9" ht="15" thickBot="1" x14ac:dyDescent="0.35">
      <c r="A52" s="407" t="s">
        <v>80</v>
      </c>
      <c r="B52" s="113" t="s">
        <v>81</v>
      </c>
      <c r="C52" s="113" t="s">
        <v>60</v>
      </c>
      <c r="D52" s="114" t="s">
        <v>61</v>
      </c>
      <c r="E52" s="115"/>
      <c r="F52" s="192">
        <f t="shared" si="0"/>
        <v>0</v>
      </c>
      <c r="G52" s="116" t="s">
        <v>39</v>
      </c>
      <c r="H52" s="117">
        <v>1271454</v>
      </c>
      <c r="I52" s="118"/>
    </row>
    <row r="53" spans="1:9" ht="15" thickBot="1" x14ac:dyDescent="0.35">
      <c r="A53" s="408"/>
      <c r="B53" s="119" t="s">
        <v>81</v>
      </c>
      <c r="C53" s="132" t="s">
        <v>62</v>
      </c>
      <c r="D53" s="92" t="s">
        <v>38</v>
      </c>
      <c r="E53" s="93">
        <f>(43*100)/33.5</f>
        <v>128.35820895522389</v>
      </c>
      <c r="F53" s="231">
        <f t="shared" si="0"/>
        <v>64.179104477611943</v>
      </c>
      <c r="G53" s="94" t="s">
        <v>39</v>
      </c>
      <c r="H53" s="120">
        <v>0.42920399999999997</v>
      </c>
      <c r="I53" s="95">
        <f>H53*E53</f>
        <v>55.091856716417908</v>
      </c>
    </row>
    <row r="54" spans="1:9" ht="15" thickBot="1" x14ac:dyDescent="0.35">
      <c r="A54" s="408"/>
      <c r="B54" s="121" t="s">
        <v>81</v>
      </c>
      <c r="C54" s="137" t="s">
        <v>64</v>
      </c>
      <c r="D54" s="138" t="s">
        <v>65</v>
      </c>
      <c r="E54" s="139"/>
      <c r="F54" s="192">
        <f t="shared" si="0"/>
        <v>0</v>
      </c>
      <c r="G54" s="139" t="s">
        <v>39</v>
      </c>
      <c r="H54" s="140">
        <v>0.76831099999999997</v>
      </c>
      <c r="I54" s="141">
        <f t="shared" ref="I54:I55" si="2">H54*E54</f>
        <v>0</v>
      </c>
    </row>
    <row r="55" spans="1:9" ht="15" thickBot="1" x14ac:dyDescent="0.35">
      <c r="A55" s="408"/>
      <c r="B55" s="121" t="s">
        <v>81</v>
      </c>
      <c r="C55" s="137" t="s">
        <v>42</v>
      </c>
      <c r="D55" s="138" t="s">
        <v>43</v>
      </c>
      <c r="E55" s="139"/>
      <c r="F55" s="192">
        <f t="shared" si="0"/>
        <v>0</v>
      </c>
      <c r="G55" s="139" t="s">
        <v>39</v>
      </c>
      <c r="H55" s="140">
        <v>0.987286</v>
      </c>
      <c r="I55" s="141">
        <f t="shared" si="2"/>
        <v>0</v>
      </c>
    </row>
    <row r="56" spans="1:9" ht="15" thickBot="1" x14ac:dyDescent="0.35">
      <c r="A56" s="408"/>
      <c r="B56" s="142"/>
      <c r="C56" s="143"/>
      <c r="D56" s="98" t="s">
        <v>41</v>
      </c>
      <c r="E56" s="100">
        <v>16</v>
      </c>
      <c r="F56" s="192">
        <f t="shared" si="0"/>
        <v>8</v>
      </c>
      <c r="G56" s="100" t="s">
        <v>39</v>
      </c>
      <c r="H56" s="144">
        <v>1</v>
      </c>
      <c r="I56" s="101">
        <f>H56*E56</f>
        <v>16</v>
      </c>
    </row>
    <row r="57" spans="1:9" ht="15" thickBot="1" x14ac:dyDescent="0.35">
      <c r="A57" s="408"/>
      <c r="B57" s="119"/>
      <c r="C57" s="132"/>
      <c r="D57" s="92" t="s">
        <v>40</v>
      </c>
      <c r="E57" s="133">
        <f>0.3*62</f>
        <v>18.599999999999998</v>
      </c>
      <c r="F57" s="192">
        <f t="shared" si="0"/>
        <v>9.2999999999999989</v>
      </c>
      <c r="G57" s="94" t="s">
        <v>39</v>
      </c>
      <c r="H57" s="120">
        <v>3</v>
      </c>
      <c r="I57" s="95">
        <f>H57*E57</f>
        <v>55.8</v>
      </c>
    </row>
    <row r="58" spans="1:9" ht="15" thickBot="1" x14ac:dyDescent="0.35">
      <c r="A58" s="409"/>
      <c r="B58" s="145" t="s">
        <v>81</v>
      </c>
      <c r="C58" s="146" t="s">
        <v>68</v>
      </c>
      <c r="D58" s="147" t="s">
        <v>69</v>
      </c>
      <c r="E58" s="148">
        <v>100</v>
      </c>
      <c r="F58" s="192">
        <f t="shared" si="0"/>
        <v>50</v>
      </c>
      <c r="G58" s="149" t="s">
        <v>39</v>
      </c>
      <c r="H58" s="150">
        <v>0.86401399999999995</v>
      </c>
      <c r="I58" s="151">
        <f>H58*E58</f>
        <v>86.401399999999995</v>
      </c>
    </row>
    <row r="59" spans="1:9" ht="15" thickBot="1" x14ac:dyDescent="0.35">
      <c r="A59" s="410" t="s">
        <v>82</v>
      </c>
      <c r="B59" s="204" t="s">
        <v>83</v>
      </c>
      <c r="C59" s="204" t="s">
        <v>84</v>
      </c>
      <c r="D59" s="86" t="s">
        <v>85</v>
      </c>
      <c r="E59" s="88">
        <v>400</v>
      </c>
      <c r="F59" s="192">
        <f t="shared" si="0"/>
        <v>200</v>
      </c>
      <c r="G59" s="88" t="s">
        <v>22</v>
      </c>
      <c r="H59" s="89">
        <v>5.5442999999999999E-2</v>
      </c>
      <c r="I59" s="90">
        <v>22.18</v>
      </c>
    </row>
    <row r="60" spans="1:9" ht="15" thickBot="1" x14ac:dyDescent="0.35">
      <c r="A60" s="411"/>
      <c r="B60" s="119" t="s">
        <v>83</v>
      </c>
      <c r="C60" s="119" t="s">
        <v>86</v>
      </c>
      <c r="D60" s="92" t="s">
        <v>87</v>
      </c>
      <c r="E60" s="94">
        <v>400</v>
      </c>
      <c r="F60" s="192">
        <f t="shared" si="0"/>
        <v>200</v>
      </c>
      <c r="G60" s="94" t="s">
        <v>22</v>
      </c>
      <c r="H60" s="120">
        <v>2.4820999999999999E-2</v>
      </c>
      <c r="I60" s="95">
        <v>9.93</v>
      </c>
    </row>
    <row r="61" spans="1:9" ht="15" thickBot="1" x14ac:dyDescent="0.35">
      <c r="A61" s="411"/>
      <c r="B61" s="119" t="s">
        <v>83</v>
      </c>
      <c r="C61" s="132" t="s">
        <v>88</v>
      </c>
      <c r="D61" s="92" t="s">
        <v>89</v>
      </c>
      <c r="E61" s="94">
        <v>300</v>
      </c>
      <c r="F61" s="192">
        <f t="shared" si="0"/>
        <v>150</v>
      </c>
      <c r="G61" s="94" t="s">
        <v>22</v>
      </c>
      <c r="H61" s="120">
        <v>7.1400000000000005E-2</v>
      </c>
      <c r="I61" s="95">
        <v>21.42</v>
      </c>
    </row>
    <row r="62" spans="1:9" ht="15" thickBot="1" x14ac:dyDescent="0.35">
      <c r="A62" s="411"/>
      <c r="B62" s="127"/>
      <c r="C62" s="127"/>
      <c r="D62" s="128" t="s">
        <v>28</v>
      </c>
      <c r="E62" s="130">
        <v>0.5</v>
      </c>
      <c r="F62" s="192">
        <f t="shared" si="0"/>
        <v>0.25</v>
      </c>
      <c r="G62" s="130" t="s">
        <v>15</v>
      </c>
      <c r="H62" s="209">
        <v>32.5</v>
      </c>
      <c r="I62" s="201">
        <f>H62*E62</f>
        <v>16.25</v>
      </c>
    </row>
    <row r="63" spans="1:9" ht="15" thickBot="1" x14ac:dyDescent="0.35">
      <c r="A63" s="411"/>
      <c r="B63" s="127"/>
      <c r="C63" s="127"/>
      <c r="D63" s="128" t="s">
        <v>90</v>
      </c>
      <c r="E63" s="130">
        <v>1.5</v>
      </c>
      <c r="F63" s="192">
        <f t="shared" si="0"/>
        <v>0.75</v>
      </c>
      <c r="G63" s="130" t="s">
        <v>15</v>
      </c>
      <c r="H63" s="277">
        <v>18.170000000000002</v>
      </c>
      <c r="I63" s="201">
        <f>10*E63</f>
        <v>15</v>
      </c>
    </row>
    <row r="64" spans="1:9" ht="15" thickBot="1" x14ac:dyDescent="0.35">
      <c r="A64" s="411"/>
      <c r="B64" s="119" t="s">
        <v>83</v>
      </c>
      <c r="C64" s="119" t="s">
        <v>33</v>
      </c>
      <c r="D64" s="92" t="s">
        <v>34</v>
      </c>
      <c r="E64" s="94">
        <v>1</v>
      </c>
      <c r="F64" s="192">
        <f t="shared" si="0"/>
        <v>0.5</v>
      </c>
      <c r="G64" s="94" t="s">
        <v>24</v>
      </c>
      <c r="H64" s="120">
        <v>8.0960000000000008E-3</v>
      </c>
      <c r="I64" s="95">
        <f>H64*E64</f>
        <v>8.0960000000000008E-3</v>
      </c>
    </row>
    <row r="65" spans="1:9" ht="15" thickBot="1" x14ac:dyDescent="0.35">
      <c r="A65" s="412"/>
      <c r="B65" s="145" t="s">
        <v>83</v>
      </c>
      <c r="C65" s="145" t="s">
        <v>56</v>
      </c>
      <c r="D65" s="147" t="s">
        <v>57</v>
      </c>
      <c r="E65" s="149">
        <v>180</v>
      </c>
      <c r="F65" s="192">
        <f t="shared" si="0"/>
        <v>90</v>
      </c>
      <c r="G65" s="149" t="s">
        <v>22</v>
      </c>
      <c r="H65" s="150">
        <v>2.2055999999999999E-2</v>
      </c>
      <c r="I65" s="151">
        <f>H65*E65</f>
        <v>3.9700799999999998</v>
      </c>
    </row>
    <row r="66" spans="1:9" ht="15" thickBot="1" x14ac:dyDescent="0.35">
      <c r="A66" s="413" t="s">
        <v>91</v>
      </c>
      <c r="B66" s="113" t="s">
        <v>92</v>
      </c>
      <c r="C66" s="113" t="s">
        <v>64</v>
      </c>
      <c r="D66" s="114" t="s">
        <v>65</v>
      </c>
      <c r="E66" s="115">
        <v>0</v>
      </c>
      <c r="F66" s="192">
        <f t="shared" si="0"/>
        <v>0</v>
      </c>
      <c r="G66" s="116" t="s">
        <v>39</v>
      </c>
      <c r="H66" s="152">
        <v>0.76831099999999997</v>
      </c>
      <c r="I66" s="118"/>
    </row>
    <row r="67" spans="1:9" ht="15" thickBot="1" x14ac:dyDescent="0.35">
      <c r="A67" s="414"/>
      <c r="B67" s="119" t="s">
        <v>92</v>
      </c>
      <c r="C67" s="119" t="s">
        <v>62</v>
      </c>
      <c r="D67" s="92" t="s">
        <v>38</v>
      </c>
      <c r="E67" s="133"/>
      <c r="F67" s="192">
        <f t="shared" si="0"/>
        <v>0</v>
      </c>
      <c r="G67" s="94" t="s">
        <v>39</v>
      </c>
      <c r="H67" s="120">
        <v>0.42920399999999997</v>
      </c>
      <c r="I67" s="95">
        <f>H67*E67</f>
        <v>0</v>
      </c>
    </row>
    <row r="68" spans="1:9" ht="15" thickBot="1" x14ac:dyDescent="0.35">
      <c r="A68" s="415"/>
      <c r="B68" s="103" t="s">
        <v>92</v>
      </c>
      <c r="C68" s="103" t="s">
        <v>42</v>
      </c>
      <c r="D68" s="104" t="s">
        <v>43</v>
      </c>
      <c r="E68" s="105">
        <v>0</v>
      </c>
      <c r="F68" s="192">
        <f t="shared" si="0"/>
        <v>0</v>
      </c>
      <c r="G68" s="102" t="s">
        <v>39</v>
      </c>
      <c r="H68" s="106">
        <v>0.987286</v>
      </c>
      <c r="I68" s="107"/>
    </row>
    <row r="69" spans="1:9" ht="15" thickBot="1" x14ac:dyDescent="0.35">
      <c r="A69" s="397" t="s">
        <v>93</v>
      </c>
      <c r="B69" s="204" t="s">
        <v>94</v>
      </c>
      <c r="C69" s="204" t="s">
        <v>95</v>
      </c>
      <c r="D69" s="86" t="s">
        <v>96</v>
      </c>
      <c r="E69" s="88">
        <v>100</v>
      </c>
      <c r="F69" s="192">
        <f t="shared" si="0"/>
        <v>50</v>
      </c>
      <c r="G69" s="88" t="s">
        <v>22</v>
      </c>
      <c r="H69" s="89">
        <v>0.113652</v>
      </c>
      <c r="I69" s="90">
        <v>11.37</v>
      </c>
    </row>
    <row r="70" spans="1:9" ht="15" thickBot="1" x14ac:dyDescent="0.35">
      <c r="A70" s="398"/>
      <c r="B70" s="119" t="s">
        <v>94</v>
      </c>
      <c r="C70" s="119" t="s">
        <v>97</v>
      </c>
      <c r="D70" s="92" t="s">
        <v>98</v>
      </c>
      <c r="E70" s="94">
        <v>200</v>
      </c>
      <c r="F70" s="192">
        <f t="shared" ref="F70:F85" si="3">E70/2</f>
        <v>100</v>
      </c>
      <c r="G70" s="94" t="s">
        <v>22</v>
      </c>
      <c r="H70" s="120">
        <v>0.123683</v>
      </c>
      <c r="I70" s="95">
        <v>24.74</v>
      </c>
    </row>
    <row r="71" spans="1:9" ht="15" thickBot="1" x14ac:dyDescent="0.35">
      <c r="A71" s="398"/>
      <c r="B71" s="119" t="s">
        <v>94</v>
      </c>
      <c r="C71" s="132" t="s">
        <v>54</v>
      </c>
      <c r="D71" s="92" t="s">
        <v>55</v>
      </c>
      <c r="E71" s="94">
        <v>500</v>
      </c>
      <c r="F71" s="192">
        <f t="shared" si="3"/>
        <v>250</v>
      </c>
      <c r="G71" s="94" t="s">
        <v>22</v>
      </c>
      <c r="H71" s="120">
        <v>1.8568999999999999E-2</v>
      </c>
      <c r="I71" s="95">
        <v>9.2799999999999994</v>
      </c>
    </row>
    <row r="72" spans="1:9" ht="15" thickBot="1" x14ac:dyDescent="0.35">
      <c r="A72" s="398"/>
      <c r="B72" s="127" t="s">
        <v>94</v>
      </c>
      <c r="C72" s="127"/>
      <c r="D72" s="128" t="s">
        <v>28</v>
      </c>
      <c r="E72" s="130">
        <v>0.5</v>
      </c>
      <c r="F72" s="192">
        <f t="shared" si="3"/>
        <v>0.25</v>
      </c>
      <c r="G72" s="130" t="s">
        <v>15</v>
      </c>
      <c r="H72" s="202">
        <v>32.5</v>
      </c>
      <c r="I72" s="201">
        <f>H72*E72</f>
        <v>16.25</v>
      </c>
    </row>
    <row r="73" spans="1:9" ht="15" thickBot="1" x14ac:dyDescent="0.35">
      <c r="A73" s="398"/>
      <c r="B73" s="127" t="s">
        <v>94</v>
      </c>
      <c r="C73" s="127"/>
      <c r="D73" s="128" t="s">
        <v>29</v>
      </c>
      <c r="E73" s="130">
        <v>1</v>
      </c>
      <c r="F73" s="192">
        <f t="shared" si="3"/>
        <v>0.5</v>
      </c>
      <c r="G73" s="130" t="s">
        <v>15</v>
      </c>
      <c r="H73" s="202">
        <v>18.97</v>
      </c>
      <c r="I73" s="201">
        <f>H73*E73</f>
        <v>18.97</v>
      </c>
    </row>
    <row r="74" spans="1:9" ht="15" thickBot="1" x14ac:dyDescent="0.35">
      <c r="A74" s="398"/>
      <c r="B74" s="127" t="s">
        <v>94</v>
      </c>
      <c r="C74" s="127"/>
      <c r="D74" s="128" t="s">
        <v>99</v>
      </c>
      <c r="E74" s="130">
        <v>1</v>
      </c>
      <c r="F74" s="192">
        <f t="shared" si="3"/>
        <v>0.5</v>
      </c>
      <c r="G74" s="130" t="s">
        <v>15</v>
      </c>
      <c r="H74" s="200">
        <f>'[1]Manejo Vitenza'!E24</f>
        <v>18.1675</v>
      </c>
      <c r="I74" s="201">
        <f>H74*E74</f>
        <v>18.1675</v>
      </c>
    </row>
    <row r="75" spans="1:9" ht="15" thickBot="1" x14ac:dyDescent="0.35">
      <c r="A75" s="398"/>
      <c r="B75" s="119" t="s">
        <v>94</v>
      </c>
      <c r="C75" s="132" t="s">
        <v>33</v>
      </c>
      <c r="D75" s="92" t="s">
        <v>34</v>
      </c>
      <c r="E75" s="94">
        <v>1</v>
      </c>
      <c r="F75" s="192">
        <f t="shared" si="3"/>
        <v>0.5</v>
      </c>
      <c r="G75" s="94" t="s">
        <v>24</v>
      </c>
      <c r="H75" s="120">
        <v>8.0960000000000008E-3</v>
      </c>
      <c r="I75" s="95">
        <v>8.1</v>
      </c>
    </row>
    <row r="76" spans="1:9" ht="15" thickBot="1" x14ac:dyDescent="0.35">
      <c r="A76" s="399"/>
      <c r="B76" s="145" t="s">
        <v>94</v>
      </c>
      <c r="C76" s="145" t="s">
        <v>56</v>
      </c>
      <c r="D76" s="147" t="s">
        <v>57</v>
      </c>
      <c r="E76" s="149">
        <v>180</v>
      </c>
      <c r="F76" s="192">
        <f t="shared" si="3"/>
        <v>90</v>
      </c>
      <c r="G76" s="149" t="s">
        <v>22</v>
      </c>
      <c r="H76" s="150">
        <v>2.2055999999999999E-2</v>
      </c>
      <c r="I76" s="151">
        <v>3.97</v>
      </c>
    </row>
    <row r="77" spans="1:9" ht="15" thickBot="1" x14ac:dyDescent="0.35">
      <c r="A77" s="400" t="s">
        <v>100</v>
      </c>
      <c r="B77" s="204" t="s">
        <v>101</v>
      </c>
      <c r="C77" s="204" t="s">
        <v>102</v>
      </c>
      <c r="D77" s="86" t="s">
        <v>103</v>
      </c>
      <c r="E77" s="88">
        <v>150</v>
      </c>
      <c r="F77" s="192">
        <f t="shared" si="3"/>
        <v>75</v>
      </c>
      <c r="G77" s="88" t="s">
        <v>22</v>
      </c>
      <c r="H77" s="89">
        <v>0.32379599999999997</v>
      </c>
      <c r="I77" s="90">
        <v>48.57</v>
      </c>
    </row>
    <row r="78" spans="1:9" ht="15" thickBot="1" x14ac:dyDescent="0.35">
      <c r="A78" s="401"/>
      <c r="B78" s="119" t="s">
        <v>101</v>
      </c>
      <c r="C78" s="119" t="s">
        <v>46</v>
      </c>
      <c r="D78" s="92" t="s">
        <v>47</v>
      </c>
      <c r="E78" s="94">
        <v>250</v>
      </c>
      <c r="F78" s="192">
        <f t="shared" si="3"/>
        <v>125</v>
      </c>
      <c r="G78" s="94" t="s">
        <v>22</v>
      </c>
      <c r="H78" s="120">
        <v>2.9127E-2</v>
      </c>
      <c r="I78" s="95">
        <v>7.28</v>
      </c>
    </row>
    <row r="79" spans="1:9" ht="15" thickBot="1" x14ac:dyDescent="0.35">
      <c r="A79" s="401"/>
      <c r="B79" s="119" t="s">
        <v>101</v>
      </c>
      <c r="C79" s="132" t="s">
        <v>104</v>
      </c>
      <c r="D79" s="92" t="s">
        <v>105</v>
      </c>
      <c r="E79" s="94">
        <v>400</v>
      </c>
      <c r="F79" s="192">
        <f t="shared" si="3"/>
        <v>200</v>
      </c>
      <c r="G79" s="94" t="s">
        <v>22</v>
      </c>
      <c r="H79" s="120">
        <v>4.1161999999999997E-2</v>
      </c>
      <c r="I79" s="95">
        <v>16.46</v>
      </c>
    </row>
    <row r="80" spans="1:9" ht="15" thickBot="1" x14ac:dyDescent="0.35">
      <c r="A80" s="401"/>
      <c r="B80" s="127"/>
      <c r="C80" s="127"/>
      <c r="D80" s="128" t="s">
        <v>28</v>
      </c>
      <c r="E80" s="130">
        <v>1</v>
      </c>
      <c r="F80" s="192">
        <f t="shared" si="3"/>
        <v>0.5</v>
      </c>
      <c r="G80" s="130" t="s">
        <v>15</v>
      </c>
      <c r="H80" s="200">
        <f>'[1]Manejo Vitenza'!E25</f>
        <v>32.123000000000005</v>
      </c>
      <c r="I80" s="201">
        <f>H80*E80</f>
        <v>32.123000000000005</v>
      </c>
    </row>
    <row r="81" spans="1:9" ht="15" thickBot="1" x14ac:dyDescent="0.35">
      <c r="A81" s="401"/>
      <c r="B81" s="127"/>
      <c r="C81" s="127"/>
      <c r="D81" s="128" t="s">
        <v>29</v>
      </c>
      <c r="E81" s="130">
        <v>1</v>
      </c>
      <c r="F81" s="192">
        <f t="shared" si="3"/>
        <v>0.5</v>
      </c>
      <c r="G81" s="130" t="s">
        <v>15</v>
      </c>
      <c r="H81" s="200">
        <f>'[1]Manejo Vitenza'!E26</f>
        <v>16.445</v>
      </c>
      <c r="I81" s="201">
        <f>H81*E81</f>
        <v>16.445</v>
      </c>
    </row>
    <row r="82" spans="1:9" ht="15" thickBot="1" x14ac:dyDescent="0.35">
      <c r="A82" s="401"/>
      <c r="B82" s="127"/>
      <c r="C82" s="127"/>
      <c r="D82" s="128" t="s">
        <v>99</v>
      </c>
      <c r="E82" s="130">
        <v>1</v>
      </c>
      <c r="F82" s="192">
        <f t="shared" si="3"/>
        <v>0.5</v>
      </c>
      <c r="G82" s="130" t="s">
        <v>15</v>
      </c>
      <c r="H82" s="202">
        <v>18.7</v>
      </c>
      <c r="I82" s="201">
        <f>H82*E82</f>
        <v>18.7</v>
      </c>
    </row>
    <row r="83" spans="1:9" ht="15" thickBot="1" x14ac:dyDescent="0.35">
      <c r="A83" s="402"/>
      <c r="B83" s="145" t="s">
        <v>101</v>
      </c>
      <c r="C83" s="145" t="s">
        <v>33</v>
      </c>
      <c r="D83" s="210" t="s">
        <v>34</v>
      </c>
      <c r="E83" s="149">
        <v>1</v>
      </c>
      <c r="F83" s="192">
        <f t="shared" si="3"/>
        <v>0.5</v>
      </c>
      <c r="G83" s="149" t="s">
        <v>24</v>
      </c>
      <c r="H83" s="150">
        <v>8.0960000000000008E-3</v>
      </c>
      <c r="I83" s="151">
        <v>8.1</v>
      </c>
    </row>
    <row r="84" spans="1:9" ht="15" thickBot="1" x14ac:dyDescent="0.35">
      <c r="A84" s="403" t="s">
        <v>106</v>
      </c>
      <c r="B84" s="211"/>
      <c r="C84" s="211"/>
      <c r="D84" s="193" t="s">
        <v>28</v>
      </c>
      <c r="E84" s="192">
        <v>0.5</v>
      </c>
      <c r="F84" s="192">
        <f t="shared" si="3"/>
        <v>0.25</v>
      </c>
      <c r="G84" s="192" t="s">
        <v>15</v>
      </c>
      <c r="H84" s="212">
        <v>32.5</v>
      </c>
      <c r="I84" s="195">
        <f>H84*E84</f>
        <v>16.25</v>
      </c>
    </row>
    <row r="85" spans="1:9" ht="15" thickBot="1" x14ac:dyDescent="0.35">
      <c r="A85" s="404"/>
      <c r="B85" s="213"/>
      <c r="C85" s="213"/>
      <c r="D85" s="197" t="s">
        <v>53</v>
      </c>
      <c r="E85" s="196">
        <v>1</v>
      </c>
      <c r="F85" s="192">
        <f t="shared" si="3"/>
        <v>0.5</v>
      </c>
      <c r="G85" s="196" t="s">
        <v>15</v>
      </c>
      <c r="H85" s="214">
        <v>33.25</v>
      </c>
      <c r="I85" s="199">
        <f>H85*E85</f>
        <v>33.25</v>
      </c>
    </row>
    <row r="86" spans="1:9" ht="15" thickBot="1" x14ac:dyDescent="0.35">
      <c r="A86" s="165"/>
      <c r="B86" s="165"/>
      <c r="C86" s="165"/>
      <c r="D86" s="165"/>
      <c r="E86" s="215"/>
      <c r="F86" s="215"/>
      <c r="G86" s="405" t="s">
        <v>7</v>
      </c>
      <c r="H86" s="406"/>
      <c r="I86" s="216">
        <f>SUM(I4:I85)</f>
        <v>2380.7933834626865</v>
      </c>
    </row>
  </sheetData>
  <mergeCells count="16">
    <mergeCell ref="A24:A31"/>
    <mergeCell ref="A1:I2"/>
    <mergeCell ref="A5:A6"/>
    <mergeCell ref="A7:A13"/>
    <mergeCell ref="A14:A17"/>
    <mergeCell ref="A18:A23"/>
    <mergeCell ref="A69:A76"/>
    <mergeCell ref="A77:A83"/>
    <mergeCell ref="A84:A85"/>
    <mergeCell ref="G86:H86"/>
    <mergeCell ref="A32:A39"/>
    <mergeCell ref="A40:A43"/>
    <mergeCell ref="A44:A51"/>
    <mergeCell ref="A52:A58"/>
    <mergeCell ref="A59:A65"/>
    <mergeCell ref="A66:A68"/>
  </mergeCells>
  <pageMargins left="0.25" right="0.25" top="0.75" bottom="0.75" header="0.3" footer="0.3"/>
  <pageSetup orientation="landscape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4B2A8-7D28-41A3-953C-29F51C2FFE83}">
  <dimension ref="A1:G34"/>
  <sheetViews>
    <sheetView view="pageBreakPreview" zoomScale="60" zoomScaleNormal="100" workbookViewId="0">
      <selection activeCell="H22" sqref="H22"/>
    </sheetView>
  </sheetViews>
  <sheetFormatPr baseColWidth="10" defaultRowHeight="14.4" x14ac:dyDescent="0.3"/>
  <cols>
    <col min="3" max="3" width="34.88671875" customWidth="1"/>
  </cols>
  <sheetData>
    <row r="1" spans="1:7" x14ac:dyDescent="0.3">
      <c r="A1" s="350" t="s">
        <v>141</v>
      </c>
      <c r="B1" s="351"/>
      <c r="C1" s="351"/>
      <c r="D1" s="351"/>
      <c r="E1" s="351"/>
      <c r="F1" s="351"/>
      <c r="G1" s="352"/>
    </row>
    <row r="2" spans="1:7" ht="15" thickBot="1" x14ac:dyDescent="0.35">
      <c r="A2" s="353"/>
      <c r="B2" s="354"/>
      <c r="C2" s="354"/>
      <c r="D2" s="354"/>
      <c r="E2" s="354"/>
      <c r="F2" s="354"/>
      <c r="G2" s="355"/>
    </row>
    <row r="3" spans="1:7" ht="15" thickBot="1" x14ac:dyDescent="0.35">
      <c r="A3" s="356" t="s">
        <v>142</v>
      </c>
      <c r="B3" s="357"/>
      <c r="C3" s="358">
        <v>0.3</v>
      </c>
      <c r="D3" s="359"/>
      <c r="E3" s="359"/>
      <c r="F3" s="359"/>
      <c r="G3" s="360"/>
    </row>
    <row r="4" spans="1:7" ht="28.8" thickBot="1" x14ac:dyDescent="0.35">
      <c r="A4" s="232" t="s">
        <v>143</v>
      </c>
      <c r="B4" s="297" t="s">
        <v>144</v>
      </c>
      <c r="C4" s="297" t="s">
        <v>145</v>
      </c>
      <c r="D4" s="296" t="s">
        <v>146</v>
      </c>
      <c r="E4" s="296" t="s">
        <v>155</v>
      </c>
      <c r="F4" s="296" t="s">
        <v>147</v>
      </c>
      <c r="G4" s="298" t="s">
        <v>148</v>
      </c>
    </row>
    <row r="5" spans="1:7" ht="15" thickBot="1" x14ac:dyDescent="0.35">
      <c r="A5" s="430">
        <v>0</v>
      </c>
      <c r="B5" s="336" t="s">
        <v>149</v>
      </c>
      <c r="C5" s="236" t="s">
        <v>14</v>
      </c>
      <c r="D5" s="237">
        <v>1</v>
      </c>
      <c r="E5" s="237">
        <f t="shared" ref="E5:E33" si="0">D5/2</f>
        <v>0.5</v>
      </c>
      <c r="F5" s="238">
        <v>11.5</v>
      </c>
      <c r="G5" s="239">
        <f t="shared" ref="G5:G33" si="1">E5*F5</f>
        <v>5.75</v>
      </c>
    </row>
    <row r="6" spans="1:7" ht="15" thickBot="1" x14ac:dyDescent="0.35">
      <c r="A6" s="361"/>
      <c r="B6" s="346"/>
      <c r="C6" s="248" t="s">
        <v>16</v>
      </c>
      <c r="D6" s="249">
        <v>0.2</v>
      </c>
      <c r="E6" s="249">
        <f t="shared" si="0"/>
        <v>0.1</v>
      </c>
      <c r="F6" s="250">
        <v>15</v>
      </c>
      <c r="G6" s="299">
        <f t="shared" si="1"/>
        <v>1.5</v>
      </c>
    </row>
    <row r="7" spans="1:7" ht="15" thickBot="1" x14ac:dyDescent="0.35">
      <c r="A7" s="361"/>
      <c r="B7" s="336" t="s">
        <v>150</v>
      </c>
      <c r="C7" s="236" t="s">
        <v>16</v>
      </c>
      <c r="D7" s="237">
        <v>0.2</v>
      </c>
      <c r="E7" s="237">
        <f t="shared" si="0"/>
        <v>0.1</v>
      </c>
      <c r="F7" s="238">
        <v>15</v>
      </c>
      <c r="G7" s="239">
        <f t="shared" si="1"/>
        <v>1.5</v>
      </c>
    </row>
    <row r="8" spans="1:7" ht="15" thickBot="1" x14ac:dyDescent="0.35">
      <c r="A8" s="361"/>
      <c r="B8" s="337"/>
      <c r="C8" s="244" t="s">
        <v>28</v>
      </c>
      <c r="D8" s="245">
        <v>0.5</v>
      </c>
      <c r="E8" s="245">
        <f t="shared" si="0"/>
        <v>0.25</v>
      </c>
      <c r="F8" s="246">
        <v>32.5</v>
      </c>
      <c r="G8" s="239">
        <f t="shared" si="1"/>
        <v>8.125</v>
      </c>
    </row>
    <row r="9" spans="1:7" ht="15" thickBot="1" x14ac:dyDescent="0.35">
      <c r="A9" s="361"/>
      <c r="B9" s="346"/>
      <c r="C9" s="248" t="s">
        <v>29</v>
      </c>
      <c r="D9" s="249">
        <v>1</v>
      </c>
      <c r="E9" s="249">
        <f t="shared" si="0"/>
        <v>0.5</v>
      </c>
      <c r="F9" s="250">
        <v>18.97</v>
      </c>
      <c r="G9" s="299">
        <f t="shared" si="1"/>
        <v>9.4849999999999994</v>
      </c>
    </row>
    <row r="10" spans="1:7" ht="15" thickBot="1" x14ac:dyDescent="0.35">
      <c r="A10" s="431"/>
      <c r="B10" s="252" t="s">
        <v>151</v>
      </c>
      <c r="C10" s="253" t="s">
        <v>41</v>
      </c>
      <c r="D10" s="254">
        <v>80</v>
      </c>
      <c r="E10" s="262">
        <f t="shared" si="0"/>
        <v>40</v>
      </c>
      <c r="F10" s="255">
        <v>1</v>
      </c>
      <c r="G10" s="299">
        <f t="shared" si="1"/>
        <v>40</v>
      </c>
    </row>
    <row r="11" spans="1:7" ht="15" thickBot="1" x14ac:dyDescent="0.35">
      <c r="A11" s="430">
        <v>2</v>
      </c>
      <c r="B11" s="434" t="s">
        <v>152</v>
      </c>
      <c r="C11" s="236" t="s">
        <v>14</v>
      </c>
      <c r="D11" s="237">
        <v>2</v>
      </c>
      <c r="E11" s="237">
        <f t="shared" si="0"/>
        <v>1</v>
      </c>
      <c r="F11" s="238">
        <v>11.5</v>
      </c>
      <c r="G11" s="239">
        <f t="shared" si="1"/>
        <v>11.5</v>
      </c>
    </row>
    <row r="12" spans="1:7" ht="15" thickBot="1" x14ac:dyDescent="0.35">
      <c r="A12" s="431"/>
      <c r="B12" s="436"/>
      <c r="C12" s="248" t="s">
        <v>16</v>
      </c>
      <c r="D12" s="249">
        <v>0.5</v>
      </c>
      <c r="E12" s="249">
        <f t="shared" si="0"/>
        <v>0.25</v>
      </c>
      <c r="F12" s="300">
        <v>15</v>
      </c>
      <c r="G12" s="299">
        <f t="shared" si="1"/>
        <v>3.75</v>
      </c>
    </row>
    <row r="13" spans="1:7" ht="15" thickBot="1" x14ac:dyDescent="0.35">
      <c r="A13" s="430">
        <v>4</v>
      </c>
      <c r="B13" s="434" t="s">
        <v>153</v>
      </c>
      <c r="C13" s="236" t="s">
        <v>28</v>
      </c>
      <c r="D13" s="237">
        <v>0.5</v>
      </c>
      <c r="E13" s="237">
        <f t="shared" si="0"/>
        <v>0.25</v>
      </c>
      <c r="F13" s="238">
        <v>32.5</v>
      </c>
      <c r="G13" s="239">
        <f t="shared" si="1"/>
        <v>8.125</v>
      </c>
    </row>
    <row r="14" spans="1:7" ht="15" thickBot="1" x14ac:dyDescent="0.35">
      <c r="A14" s="361"/>
      <c r="B14" s="435"/>
      <c r="C14" s="244" t="s">
        <v>16</v>
      </c>
      <c r="D14" s="245">
        <v>0.2</v>
      </c>
      <c r="E14" s="245">
        <f t="shared" si="0"/>
        <v>0.1</v>
      </c>
      <c r="F14" s="258">
        <v>15</v>
      </c>
      <c r="G14" s="239">
        <f t="shared" si="1"/>
        <v>1.5</v>
      </c>
    </row>
    <row r="15" spans="1:7" ht="15" thickBot="1" x14ac:dyDescent="0.35">
      <c r="A15" s="361"/>
      <c r="B15" s="435"/>
      <c r="C15" s="244" t="s">
        <v>53</v>
      </c>
      <c r="D15" s="245">
        <v>1</v>
      </c>
      <c r="E15" s="245">
        <f t="shared" si="0"/>
        <v>0.5</v>
      </c>
      <c r="F15" s="246">
        <v>33.25</v>
      </c>
      <c r="G15" s="239">
        <f t="shared" si="1"/>
        <v>16.625</v>
      </c>
    </row>
    <row r="16" spans="1:7" ht="15" thickBot="1" x14ac:dyDescent="0.35">
      <c r="A16" s="431"/>
      <c r="B16" s="436"/>
      <c r="C16" s="248" t="s">
        <v>29</v>
      </c>
      <c r="D16" s="249">
        <v>1</v>
      </c>
      <c r="E16" s="249">
        <f t="shared" si="0"/>
        <v>0.5</v>
      </c>
      <c r="F16" s="277">
        <v>18.97</v>
      </c>
      <c r="G16" s="299">
        <f t="shared" si="1"/>
        <v>9.4849999999999994</v>
      </c>
    </row>
    <row r="17" spans="1:7" ht="15" thickBot="1" x14ac:dyDescent="0.35">
      <c r="A17" s="430">
        <v>5</v>
      </c>
      <c r="B17" s="252" t="s">
        <v>153</v>
      </c>
      <c r="C17" s="261" t="s">
        <v>16</v>
      </c>
      <c r="D17" s="262">
        <v>0.2</v>
      </c>
      <c r="E17" s="262">
        <f t="shared" si="0"/>
        <v>0.1</v>
      </c>
      <c r="F17" s="263">
        <v>15</v>
      </c>
      <c r="G17" s="299">
        <f t="shared" si="1"/>
        <v>1.5</v>
      </c>
    </row>
    <row r="18" spans="1:7" ht="15" thickBot="1" x14ac:dyDescent="0.35">
      <c r="A18" s="431"/>
      <c r="B18" s="252" t="s">
        <v>154</v>
      </c>
      <c r="C18" s="253" t="s">
        <v>41</v>
      </c>
      <c r="D18" s="254">
        <v>64</v>
      </c>
      <c r="E18" s="262">
        <f t="shared" si="0"/>
        <v>32</v>
      </c>
      <c r="F18" s="255">
        <v>1</v>
      </c>
      <c r="G18" s="299">
        <f t="shared" si="1"/>
        <v>32</v>
      </c>
    </row>
    <row r="19" spans="1:7" ht="15" thickBot="1" x14ac:dyDescent="0.35">
      <c r="A19" s="430">
        <v>6</v>
      </c>
      <c r="B19" s="432" t="s">
        <v>153</v>
      </c>
      <c r="C19" s="236" t="s">
        <v>28</v>
      </c>
      <c r="D19" s="237">
        <v>0.5</v>
      </c>
      <c r="E19" s="237">
        <f t="shared" si="0"/>
        <v>0.25</v>
      </c>
      <c r="F19" s="238">
        <v>32.5</v>
      </c>
      <c r="G19" s="239">
        <f t="shared" si="1"/>
        <v>8.125</v>
      </c>
    </row>
    <row r="20" spans="1:7" ht="15" thickBot="1" x14ac:dyDescent="0.35">
      <c r="A20" s="361"/>
      <c r="B20" s="438"/>
      <c r="C20" s="244" t="s">
        <v>53</v>
      </c>
      <c r="D20" s="245">
        <v>1</v>
      </c>
      <c r="E20" s="245">
        <f t="shared" si="0"/>
        <v>0.5</v>
      </c>
      <c r="F20" s="246">
        <v>33.25</v>
      </c>
      <c r="G20" s="239">
        <f t="shared" si="1"/>
        <v>16.625</v>
      </c>
    </row>
    <row r="21" spans="1:7" ht="15" thickBot="1" x14ac:dyDescent="0.35">
      <c r="A21" s="361"/>
      <c r="B21" s="438"/>
      <c r="C21" s="244" t="s">
        <v>29</v>
      </c>
      <c r="D21" s="245">
        <v>1</v>
      </c>
      <c r="E21" s="245">
        <f t="shared" si="0"/>
        <v>0.5</v>
      </c>
      <c r="F21" s="246">
        <v>18.97</v>
      </c>
      <c r="G21" s="239">
        <f t="shared" si="1"/>
        <v>9.4849999999999994</v>
      </c>
    </row>
    <row r="22" spans="1:7" ht="15" thickBot="1" x14ac:dyDescent="0.35">
      <c r="A22" s="431"/>
      <c r="B22" s="433"/>
      <c r="C22" s="248" t="s">
        <v>16</v>
      </c>
      <c r="D22" s="249">
        <v>0.2</v>
      </c>
      <c r="E22" s="249">
        <f t="shared" si="0"/>
        <v>0.1</v>
      </c>
      <c r="F22" s="300">
        <v>15</v>
      </c>
      <c r="G22" s="299">
        <f t="shared" si="1"/>
        <v>1.5</v>
      </c>
    </row>
    <row r="23" spans="1:7" ht="15" thickBot="1" x14ac:dyDescent="0.35">
      <c r="A23" s="430">
        <v>8</v>
      </c>
      <c r="B23" s="271" t="s">
        <v>154</v>
      </c>
      <c r="C23" s="253" t="s">
        <v>41</v>
      </c>
      <c r="D23" s="254">
        <v>16</v>
      </c>
      <c r="E23" s="262">
        <f t="shared" si="0"/>
        <v>8</v>
      </c>
      <c r="F23" s="255">
        <v>1</v>
      </c>
      <c r="G23" s="299">
        <f t="shared" si="1"/>
        <v>8</v>
      </c>
    </row>
    <row r="24" spans="1:7" ht="15" thickBot="1" x14ac:dyDescent="0.35">
      <c r="A24" s="361"/>
      <c r="B24" s="432" t="s">
        <v>153</v>
      </c>
      <c r="C24" s="301" t="s">
        <v>28</v>
      </c>
      <c r="D24" s="237">
        <v>0.5</v>
      </c>
      <c r="E24" s="237">
        <f t="shared" si="0"/>
        <v>0.25</v>
      </c>
      <c r="F24" s="238">
        <v>32.5</v>
      </c>
      <c r="G24" s="239">
        <f t="shared" si="1"/>
        <v>8.125</v>
      </c>
    </row>
    <row r="25" spans="1:7" ht="15" thickBot="1" x14ac:dyDescent="0.35">
      <c r="A25" s="431"/>
      <c r="B25" s="433"/>
      <c r="C25" s="302" t="s">
        <v>90</v>
      </c>
      <c r="D25" s="249">
        <v>1.5</v>
      </c>
      <c r="E25" s="249">
        <f t="shared" si="0"/>
        <v>0.75</v>
      </c>
      <c r="F25" s="277">
        <v>18.170000000000002</v>
      </c>
      <c r="G25" s="299">
        <f t="shared" si="1"/>
        <v>13.627500000000001</v>
      </c>
    </row>
    <row r="26" spans="1:7" ht="15" thickBot="1" x14ac:dyDescent="0.35">
      <c r="A26" s="361"/>
      <c r="B26" s="434" t="s">
        <v>153</v>
      </c>
      <c r="C26" s="236" t="s">
        <v>28</v>
      </c>
      <c r="D26" s="237">
        <v>0.5</v>
      </c>
      <c r="E26" s="237">
        <f t="shared" si="0"/>
        <v>0.25</v>
      </c>
      <c r="F26" s="238">
        <v>32.5</v>
      </c>
      <c r="G26" s="239">
        <f t="shared" si="1"/>
        <v>8.125</v>
      </c>
    </row>
    <row r="27" spans="1:7" ht="15" thickBot="1" x14ac:dyDescent="0.35">
      <c r="A27" s="361"/>
      <c r="B27" s="435"/>
      <c r="C27" s="244" t="s">
        <v>29</v>
      </c>
      <c r="D27" s="245">
        <v>1</v>
      </c>
      <c r="E27" s="245">
        <f t="shared" si="0"/>
        <v>0.5</v>
      </c>
      <c r="F27" s="246">
        <v>18.97</v>
      </c>
      <c r="G27" s="239">
        <f t="shared" si="1"/>
        <v>9.4849999999999994</v>
      </c>
    </row>
    <row r="28" spans="1:7" ht="15" thickBot="1" x14ac:dyDescent="0.35">
      <c r="A28" s="431"/>
      <c r="B28" s="436"/>
      <c r="C28" s="248" t="s">
        <v>99</v>
      </c>
      <c r="D28" s="249">
        <v>1</v>
      </c>
      <c r="E28" s="249">
        <f t="shared" si="0"/>
        <v>0.5</v>
      </c>
      <c r="F28" s="277">
        <v>18.1675</v>
      </c>
      <c r="G28" s="299">
        <f t="shared" si="1"/>
        <v>9.0837500000000002</v>
      </c>
    </row>
    <row r="29" spans="1:7" ht="15" thickBot="1" x14ac:dyDescent="0.35">
      <c r="A29" s="428">
        <v>10</v>
      </c>
      <c r="B29" s="336" t="s">
        <v>153</v>
      </c>
      <c r="C29" s="236" t="s">
        <v>28</v>
      </c>
      <c r="D29" s="237">
        <v>1</v>
      </c>
      <c r="E29" s="237">
        <f t="shared" si="0"/>
        <v>0.5</v>
      </c>
      <c r="F29" s="238">
        <v>32.123000000000005</v>
      </c>
      <c r="G29" s="239">
        <f t="shared" si="1"/>
        <v>16.061500000000002</v>
      </c>
    </row>
    <row r="30" spans="1:7" ht="15" thickBot="1" x14ac:dyDescent="0.35">
      <c r="A30" s="437"/>
      <c r="B30" s="337"/>
      <c r="C30" s="244" t="s">
        <v>29</v>
      </c>
      <c r="D30" s="245">
        <v>1</v>
      </c>
      <c r="E30" s="245">
        <f t="shared" si="0"/>
        <v>0.5</v>
      </c>
      <c r="F30" s="246">
        <v>18.97</v>
      </c>
      <c r="G30" s="239">
        <f t="shared" si="1"/>
        <v>9.4849999999999994</v>
      </c>
    </row>
    <row r="31" spans="1:7" ht="15" thickBot="1" x14ac:dyDescent="0.35">
      <c r="A31" s="429"/>
      <c r="B31" s="346"/>
      <c r="C31" s="248" t="s">
        <v>99</v>
      </c>
      <c r="D31" s="249">
        <v>1</v>
      </c>
      <c r="E31" s="249">
        <f t="shared" si="0"/>
        <v>0.5</v>
      </c>
      <c r="F31" s="277">
        <v>18.7</v>
      </c>
      <c r="G31" s="299">
        <f t="shared" si="1"/>
        <v>9.35</v>
      </c>
    </row>
    <row r="32" spans="1:7" ht="15" thickBot="1" x14ac:dyDescent="0.35">
      <c r="A32" s="428">
        <v>12</v>
      </c>
      <c r="B32" s="336" t="s">
        <v>153</v>
      </c>
      <c r="C32" s="236" t="s">
        <v>28</v>
      </c>
      <c r="D32" s="237">
        <v>0.5</v>
      </c>
      <c r="E32" s="237">
        <f t="shared" si="0"/>
        <v>0.25</v>
      </c>
      <c r="F32" s="238">
        <v>32.5</v>
      </c>
      <c r="G32" s="239">
        <f t="shared" si="1"/>
        <v>8.125</v>
      </c>
    </row>
    <row r="33" spans="1:7" ht="15" thickBot="1" x14ac:dyDescent="0.35">
      <c r="A33" s="429"/>
      <c r="B33" s="346"/>
      <c r="C33" s="248" t="s">
        <v>53</v>
      </c>
      <c r="D33" s="249">
        <v>1</v>
      </c>
      <c r="E33" s="249">
        <f t="shared" si="0"/>
        <v>0.5</v>
      </c>
      <c r="F33" s="277">
        <v>33.25</v>
      </c>
      <c r="G33" s="299">
        <f t="shared" si="1"/>
        <v>16.625</v>
      </c>
    </row>
    <row r="34" spans="1:7" ht="15" thickBot="1" x14ac:dyDescent="0.35">
      <c r="A34" s="280"/>
      <c r="B34" s="281"/>
      <c r="C34" s="280"/>
      <c r="D34" s="282"/>
      <c r="E34" s="282"/>
      <c r="F34" s="283" t="s">
        <v>7</v>
      </c>
      <c r="G34" s="279">
        <f>SUM(G5:G33)</f>
        <v>302.67275000000006</v>
      </c>
    </row>
  </sheetData>
  <mergeCells count="21">
    <mergeCell ref="A19:A22"/>
    <mergeCell ref="B19:B22"/>
    <mergeCell ref="A1:G2"/>
    <mergeCell ref="A3:B3"/>
    <mergeCell ref="C3:G3"/>
    <mergeCell ref="A5:A10"/>
    <mergeCell ref="B5:B6"/>
    <mergeCell ref="B7:B9"/>
    <mergeCell ref="A11:A12"/>
    <mergeCell ref="B11:B12"/>
    <mergeCell ref="A13:A16"/>
    <mergeCell ref="B13:B16"/>
    <mergeCell ref="A17:A18"/>
    <mergeCell ref="A32:A33"/>
    <mergeCell ref="B32:B33"/>
    <mergeCell ref="A23:A25"/>
    <mergeCell ref="B24:B25"/>
    <mergeCell ref="A26:A28"/>
    <mergeCell ref="B26:B28"/>
    <mergeCell ref="A29:A31"/>
    <mergeCell ref="B29:B31"/>
  </mergeCells>
  <pageMargins left="0.25" right="0.25" top="0.75" bottom="0.75" header="0.3" footer="0.3"/>
  <pageSetup scale="90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6</vt:i4>
      </vt:variant>
      <vt:variant>
        <vt:lpstr>Rangos con nombre</vt:lpstr>
      </vt:variant>
      <vt:variant>
        <vt:i4>1</vt:i4>
      </vt:variant>
    </vt:vector>
  </HeadingPairs>
  <TitlesOfParts>
    <vt:vector size="7" baseType="lpstr">
      <vt:lpstr>Ensayo 1</vt:lpstr>
      <vt:lpstr>Dosificación Ensayo 1</vt:lpstr>
      <vt:lpstr>Ensayo 2</vt:lpstr>
      <vt:lpstr>Dosificación Ensayo 2</vt:lpstr>
      <vt:lpstr>Ensayo 3</vt:lpstr>
      <vt:lpstr>Dosificación Ensayo 3</vt:lpstr>
      <vt:lpstr>'Dosificación Ensayo 3'!Área_de_impresión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Gordita Sensual</dc:creator>
  <cp:lastModifiedBy>♣♦J☺V♪K○♦♣ Dávila</cp:lastModifiedBy>
  <cp:lastPrinted>2025-12-23T04:37:52Z</cp:lastPrinted>
  <dcterms:created xsi:type="dcterms:W3CDTF">2025-12-07T18:25:44Z</dcterms:created>
  <dcterms:modified xsi:type="dcterms:W3CDTF">2025-12-23T04:45:35Z</dcterms:modified>
</cp:coreProperties>
</file>